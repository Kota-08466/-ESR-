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f39af7b8f7d90e/デスクトップ/"/>
    </mc:Choice>
  </mc:AlternateContent>
  <xr:revisionPtr revIDLastSave="0" documentId="8_{7D4C2BE3-028A-45A6-A3C3-2D3CF774BA5A}" xr6:coauthVersionLast="47" xr6:coauthVersionMax="47" xr10:uidLastSave="{00000000-0000-0000-0000-000000000000}"/>
  <bookViews>
    <workbookView xWindow="11424" yWindow="0" windowWidth="11712" windowHeight="12336" xr2:uid="{932376EC-2689-472F-B967-A86B5E6436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</calcChain>
</file>

<file path=xl/sharedStrings.xml><?xml version="1.0" encoding="utf-8"?>
<sst xmlns="http://schemas.openxmlformats.org/spreadsheetml/2006/main" count="228" uniqueCount="72">
  <si>
    <t>記載容量</t>
    <rPh sb="0" eb="4">
      <t>キサイヨウリョウ</t>
    </rPh>
    <phoneticPr fontId="1"/>
  </si>
  <si>
    <t>構造</t>
    <rPh sb="0" eb="2">
      <t>コウゾウ</t>
    </rPh>
    <phoneticPr fontId="1"/>
  </si>
  <si>
    <t>メーカー</t>
    <phoneticPr fontId="1"/>
  </si>
  <si>
    <t>μF</t>
    <phoneticPr fontId="1"/>
  </si>
  <si>
    <t>-</t>
    <phoneticPr fontId="1"/>
  </si>
  <si>
    <t>nichicon</t>
    <phoneticPr fontId="1"/>
  </si>
  <si>
    <t>HD(M)</t>
    <phoneticPr fontId="1"/>
  </si>
  <si>
    <t>Rubycon</t>
    <phoneticPr fontId="1"/>
  </si>
  <si>
    <t>CE W</t>
    <phoneticPr fontId="1"/>
  </si>
  <si>
    <t>TF</t>
    <phoneticPr fontId="1"/>
  </si>
  <si>
    <t>CD110X</t>
    <phoneticPr fontId="1"/>
  </si>
  <si>
    <t>TEAPO</t>
    <phoneticPr fontId="1"/>
  </si>
  <si>
    <t>YHC</t>
    <phoneticPr fontId="1"/>
  </si>
  <si>
    <t>DFA19</t>
    <phoneticPr fontId="1"/>
  </si>
  <si>
    <t>FOAI</t>
    <phoneticPr fontId="1"/>
  </si>
  <si>
    <t>CD110</t>
    <phoneticPr fontId="1"/>
  </si>
  <si>
    <t>PR(M)</t>
    <phoneticPr fontId="1"/>
  </si>
  <si>
    <t>FW(M)</t>
    <phoneticPr fontId="1"/>
  </si>
  <si>
    <t>CD</t>
    <phoneticPr fontId="1"/>
  </si>
  <si>
    <t>R&amp;C</t>
    <phoneticPr fontId="1"/>
  </si>
  <si>
    <t>VENT</t>
    <phoneticPr fontId="1"/>
  </si>
  <si>
    <t>yw</t>
    <phoneticPr fontId="1"/>
  </si>
  <si>
    <t>日本ケミコン</t>
    <rPh sb="0" eb="2">
      <t>ニッポン</t>
    </rPh>
    <phoneticPr fontId="1"/>
  </si>
  <si>
    <t>SM</t>
    <phoneticPr fontId="1"/>
  </si>
  <si>
    <t>JACKCON</t>
    <phoneticPr fontId="1"/>
  </si>
  <si>
    <t>ELECON</t>
    <phoneticPr fontId="1"/>
  </si>
  <si>
    <t>JH</t>
    <phoneticPr fontId="1"/>
  </si>
  <si>
    <t>FOAI</t>
    <phoneticPr fontId="1"/>
  </si>
  <si>
    <t>HUAHONG</t>
    <phoneticPr fontId="1"/>
  </si>
  <si>
    <t>シリーズ・型番</t>
    <rPh sb="5" eb="7">
      <t>カタバン</t>
    </rPh>
    <phoneticPr fontId="1"/>
  </si>
  <si>
    <t>PW(M)</t>
    <phoneticPr fontId="1"/>
  </si>
  <si>
    <t>CE</t>
    <phoneticPr fontId="1"/>
  </si>
  <si>
    <t>YHC</t>
    <phoneticPr fontId="1"/>
  </si>
  <si>
    <t>JAMICON</t>
    <phoneticPr fontId="1"/>
  </si>
  <si>
    <t>SH</t>
    <phoneticPr fontId="1"/>
  </si>
  <si>
    <t>CD</t>
    <phoneticPr fontId="1"/>
  </si>
  <si>
    <t>Chongx</t>
    <phoneticPr fontId="1"/>
  </si>
  <si>
    <t>ELCON</t>
    <phoneticPr fontId="1"/>
  </si>
  <si>
    <t>SC</t>
    <phoneticPr fontId="1"/>
  </si>
  <si>
    <t>Lelon</t>
    <phoneticPr fontId="1"/>
  </si>
  <si>
    <t>RXW</t>
    <phoneticPr fontId="1"/>
  </si>
  <si>
    <t>PS(M)</t>
    <phoneticPr fontId="1"/>
  </si>
  <si>
    <t>RZ(M)</t>
    <phoneticPr fontId="1"/>
  </si>
  <si>
    <t>R&amp;C</t>
    <phoneticPr fontId="1"/>
  </si>
  <si>
    <t>FOAI</t>
    <phoneticPr fontId="1"/>
  </si>
  <si>
    <t>日本ケミコン</t>
    <rPh sb="0" eb="2">
      <t>ニッポン</t>
    </rPh>
    <phoneticPr fontId="1"/>
  </si>
  <si>
    <t>SRH</t>
    <phoneticPr fontId="1"/>
  </si>
  <si>
    <t>DFA15</t>
    <phoneticPr fontId="1"/>
  </si>
  <si>
    <t>ZHN</t>
    <phoneticPr fontId="1"/>
  </si>
  <si>
    <t>CD112A</t>
    <phoneticPr fontId="1"/>
  </si>
  <si>
    <t>JAKEC</t>
    <phoneticPr fontId="1"/>
  </si>
  <si>
    <t>CE</t>
    <phoneticPr fontId="1"/>
  </si>
  <si>
    <t>A</t>
    <phoneticPr fontId="1"/>
  </si>
  <si>
    <t>B</t>
    <phoneticPr fontId="1"/>
  </si>
  <si>
    <t>D</t>
    <phoneticPr fontId="1"/>
  </si>
  <si>
    <t>C</t>
    <phoneticPr fontId="1"/>
  </si>
  <si>
    <t>B</t>
    <phoneticPr fontId="1"/>
  </si>
  <si>
    <t>C</t>
    <phoneticPr fontId="1"/>
  </si>
  <si>
    <t>A</t>
    <phoneticPr fontId="1"/>
  </si>
  <si>
    <t>D</t>
    <phoneticPr fontId="1"/>
  </si>
  <si>
    <t>表示容量[μF]</t>
    <rPh sb="0" eb="4">
      <t>ヒョウジヨウリョウ</t>
    </rPh>
    <phoneticPr fontId="1"/>
  </si>
  <si>
    <t>耐電圧[V]</t>
    <rPh sb="0" eb="3">
      <t>タイデンアツ</t>
    </rPh>
    <phoneticPr fontId="1"/>
  </si>
  <si>
    <t>耐熱温度[℃]</t>
    <rPh sb="0" eb="4">
      <t>タイネツオンド</t>
    </rPh>
    <phoneticPr fontId="1"/>
  </si>
  <si>
    <t>ESR[Ω]</t>
    <phoneticPr fontId="1"/>
  </si>
  <si>
    <t>陽極縦[cm]</t>
    <rPh sb="0" eb="3">
      <t>ヨウキョクタテ</t>
    </rPh>
    <phoneticPr fontId="1"/>
  </si>
  <si>
    <t>陽極横[cm]</t>
    <rPh sb="0" eb="3">
      <t>ヨウキョクヨコ</t>
    </rPh>
    <phoneticPr fontId="1"/>
  </si>
  <si>
    <t>陰極縦[cm]</t>
    <rPh sb="0" eb="2">
      <t>インキョク</t>
    </rPh>
    <rPh sb="2" eb="3">
      <t>タテ</t>
    </rPh>
    <phoneticPr fontId="1"/>
  </si>
  <si>
    <t>陰極横[cm]</t>
    <rPh sb="0" eb="3">
      <t>インキョクヨコ</t>
    </rPh>
    <phoneticPr fontId="1"/>
  </si>
  <si>
    <t>封口部高さ[cm]</t>
    <rPh sb="0" eb="4">
      <t>フウコウブタカ</t>
    </rPh>
    <phoneticPr fontId="1"/>
  </si>
  <si>
    <t>陽極面積[㎠]</t>
    <rPh sb="0" eb="4">
      <t>ヨウキョクメンセキ</t>
    </rPh>
    <phoneticPr fontId="1"/>
  </si>
  <si>
    <t>陰極面積[㎠]</t>
    <rPh sb="0" eb="4">
      <t>インキョクメンセキ</t>
    </rPh>
    <phoneticPr fontId="1"/>
  </si>
  <si>
    <t>電極間距離[nm]</t>
    <rPh sb="0" eb="5">
      <t>デンキョクカンキョリ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</si>
</sst>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9AE31-F3F0-4878-BA2F-B8AA4E3A6AB5}" name="テーブル1" displayName="テーブル1" ref="A1:N77" totalsRowShown="0">
  <autoFilter ref="A1:N77" xr:uid="{B6E9AE31-F3F0-4878-BA2F-B8AA4E3A6AB5}"/>
  <tableColumns count="14">
    <tableColumn id="1" xr3:uid="{403895D2-1387-40E5-A065-7589D8F8EBA5}" name="表示容量[μF]"/>
    <tableColumn id="2" xr3:uid="{EE324330-A8CC-4F74-A1A9-34398143EA93}" name="耐電圧[V]"/>
    <tableColumn id="3" xr3:uid="{3B7CBA8F-758B-4A3F-A658-2A839A033D35}" name="耐熱温度[℃]"/>
    <tableColumn id="4" xr3:uid="{0A4174AD-257D-4F65-820B-3CBA6FEC2574}" name="メーカー"/>
    <tableColumn id="5" xr3:uid="{D0FB7E2B-543C-437A-9A7D-7ED61A7540F3}" name="ESR[Ω]"/>
    <tableColumn id="6" xr3:uid="{41B65E40-AA5A-4EE3-9D0C-928728275508}" name="陽極縦[cm]"/>
    <tableColumn id="7" xr3:uid="{9EC692A7-6A90-4AC2-A25A-17ECF7CCDB54}" name="陽極横[cm]"/>
    <tableColumn id="8" xr3:uid="{B217579A-8C46-4640-A368-8E4DF3815C25}" name="陽極面積[㎠]" dataDxfId="2">
      <calculatedColumnFormula>F2*G2</calculatedColumnFormula>
    </tableColumn>
    <tableColumn id="9" xr3:uid="{EC904965-5BEF-466A-A6E0-364EBF375D08}" name="陰極縦[cm]"/>
    <tableColumn id="10" xr3:uid="{9A7F62A9-16B9-4D0B-89EA-C14ABA7C7AD8}" name="陰極横[cm]"/>
    <tableColumn id="11" xr3:uid="{63E7448C-2E26-40BC-8990-0881DA6885BC}" name="陰極面積[㎠]" dataDxfId="1">
      <calculatedColumnFormula>I2*J2</calculatedColumnFormula>
    </tableColumn>
    <tableColumn id="12" xr3:uid="{916F1009-BE56-4590-ABFF-BD866B0DF3E8}" name="電極間距離[nm]" dataDxfId="0">
      <calculatedColumnFormula>(((8.854*10^-12*9)*(H2*10^-4))/(A2*10^-6))*10^9</calculatedColumnFormula>
    </tableColumn>
    <tableColumn id="13" xr3:uid="{CC2B7445-1DB2-4020-8D0C-C2E1B1832385}" name="封口部高さ[cm]"/>
    <tableColumn id="14" xr3:uid="{FCAEA98F-3874-4F31-91FB-9D430D1A2132}" name="構造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8ED0-8612-4FB6-90CE-261959B64CD9}">
  <dimension ref="A1:N77"/>
  <sheetViews>
    <sheetView tabSelected="1" topLeftCell="G1" workbookViewId="0">
      <selection activeCell="L2" sqref="L2"/>
    </sheetView>
  </sheetViews>
  <sheetFormatPr defaultRowHeight="18" x14ac:dyDescent="0.45"/>
  <cols>
    <col min="1" max="1" width="14.09765625" customWidth="1"/>
    <col min="2" max="2" width="11.19921875" customWidth="1"/>
    <col min="3" max="3" width="13" customWidth="1"/>
    <col min="4" max="4" width="11.59765625" customWidth="1"/>
    <col min="5" max="5" width="9.5" customWidth="1"/>
    <col min="6" max="7" width="12" customWidth="1"/>
    <col min="8" max="8" width="13" customWidth="1"/>
    <col min="9" max="10" width="12" customWidth="1"/>
    <col min="11" max="11" width="13" customWidth="1"/>
    <col min="12" max="12" width="15.69921875" customWidth="1"/>
    <col min="13" max="13" width="15.59765625" customWidth="1"/>
  </cols>
  <sheetData>
    <row r="1" spans="1:14" x14ac:dyDescent="0.45">
      <c r="A1" t="s">
        <v>60</v>
      </c>
      <c r="B1" t="s">
        <v>61</v>
      </c>
      <c r="C1" t="s">
        <v>62</v>
      </c>
      <c r="D1" t="s">
        <v>2</v>
      </c>
      <c r="E1" t="s">
        <v>63</v>
      </c>
      <c r="F1" t="s">
        <v>64</v>
      </c>
      <c r="G1" t="s">
        <v>65</v>
      </c>
      <c r="H1" t="s">
        <v>69</v>
      </c>
      <c r="I1" t="s">
        <v>66</v>
      </c>
      <c r="J1" t="s">
        <v>67</v>
      </c>
      <c r="K1" t="s">
        <v>70</v>
      </c>
      <c r="L1" t="s">
        <v>71</v>
      </c>
      <c r="M1" t="s">
        <v>68</v>
      </c>
      <c r="N1" t="s">
        <v>1</v>
      </c>
    </row>
    <row r="2" spans="1:14" x14ac:dyDescent="0.45">
      <c r="A2">
        <v>1153</v>
      </c>
      <c r="B2">
        <v>6.3</v>
      </c>
      <c r="C2">
        <v>85</v>
      </c>
      <c r="D2" t="s">
        <v>7</v>
      </c>
      <c r="E2">
        <v>0.3</v>
      </c>
      <c r="F2">
        <v>0.59</v>
      </c>
      <c r="G2">
        <v>20.02</v>
      </c>
      <c r="H2">
        <f t="shared" ref="H2:H33" si="0">F2*G2</f>
        <v>11.8118</v>
      </c>
      <c r="I2">
        <v>0.59</v>
      </c>
      <c r="J2">
        <v>22.32</v>
      </c>
      <c r="K2">
        <f t="shared" ref="K2:K33" si="1">I2*J2</f>
        <v>13.168799999999999</v>
      </c>
      <c r="L2">
        <f t="shared" ref="L2:L33" si="2">(((8.854*10^-12*9)*(H2*10^-4))/(A2*10^-6))*10^9</f>
        <v>8.163357283607979E-2</v>
      </c>
      <c r="M2">
        <v>0.31</v>
      </c>
      <c r="N2" t="s">
        <v>52</v>
      </c>
    </row>
    <row r="3" spans="1:14" x14ac:dyDescent="0.45">
      <c r="A3">
        <v>992.9</v>
      </c>
      <c r="B3">
        <v>16</v>
      </c>
      <c r="C3">
        <v>85</v>
      </c>
      <c r="D3" t="s">
        <v>9</v>
      </c>
      <c r="E3">
        <v>0.26</v>
      </c>
      <c r="F3">
        <v>1.28</v>
      </c>
      <c r="G3">
        <v>14.98</v>
      </c>
      <c r="H3">
        <f t="shared" si="0"/>
        <v>19.174400000000002</v>
      </c>
      <c r="I3">
        <v>1.27</v>
      </c>
      <c r="J3">
        <v>18.36</v>
      </c>
      <c r="K3">
        <f t="shared" si="1"/>
        <v>23.3172</v>
      </c>
      <c r="L3">
        <f t="shared" si="2"/>
        <v>0.15388571239802601</v>
      </c>
      <c r="M3">
        <v>0.38</v>
      </c>
      <c r="N3" t="s">
        <v>53</v>
      </c>
    </row>
    <row r="4" spans="1:14" x14ac:dyDescent="0.45">
      <c r="A4">
        <v>1082</v>
      </c>
      <c r="B4">
        <v>16</v>
      </c>
      <c r="C4">
        <v>105</v>
      </c>
      <c r="D4" t="s">
        <v>11</v>
      </c>
      <c r="E4">
        <v>0.28000000000000003</v>
      </c>
      <c r="F4">
        <v>1.47</v>
      </c>
      <c r="G4">
        <v>11.06</v>
      </c>
      <c r="H4">
        <f t="shared" si="0"/>
        <v>16.258200000000002</v>
      </c>
      <c r="I4">
        <v>1.49</v>
      </c>
      <c r="J4">
        <v>12.49</v>
      </c>
      <c r="K4">
        <f t="shared" si="1"/>
        <v>18.610099999999999</v>
      </c>
      <c r="L4">
        <f t="shared" si="2"/>
        <v>0.11973668439926063</v>
      </c>
      <c r="M4">
        <v>0.32</v>
      </c>
      <c r="N4" t="s">
        <v>52</v>
      </c>
    </row>
    <row r="5" spans="1:14" x14ac:dyDescent="0.45">
      <c r="A5">
        <v>1050</v>
      </c>
      <c r="B5">
        <v>10</v>
      </c>
      <c r="C5">
        <v>105</v>
      </c>
      <c r="D5" t="s">
        <v>11</v>
      </c>
      <c r="E5">
        <v>0.24</v>
      </c>
      <c r="F5">
        <v>0.87</v>
      </c>
      <c r="G5">
        <v>12.71</v>
      </c>
      <c r="H5">
        <f t="shared" si="0"/>
        <v>11.057700000000001</v>
      </c>
      <c r="I5">
        <v>0.96</v>
      </c>
      <c r="J5">
        <v>14.22</v>
      </c>
      <c r="K5">
        <f t="shared" si="1"/>
        <v>13.651199999999999</v>
      </c>
      <c r="L5">
        <f t="shared" si="2"/>
        <v>8.3918464971428575E-2</v>
      </c>
      <c r="M5">
        <v>0.27</v>
      </c>
      <c r="N5" t="s">
        <v>52</v>
      </c>
    </row>
    <row r="6" spans="1:14" x14ac:dyDescent="0.45">
      <c r="A6">
        <v>1032</v>
      </c>
      <c r="B6">
        <v>25</v>
      </c>
      <c r="C6">
        <v>105</v>
      </c>
      <c r="D6" t="s">
        <v>12</v>
      </c>
      <c r="E6">
        <v>0.24</v>
      </c>
      <c r="F6">
        <v>1.31</v>
      </c>
      <c r="G6">
        <v>16.03</v>
      </c>
      <c r="H6">
        <f t="shared" si="0"/>
        <v>20.999300000000002</v>
      </c>
      <c r="I6">
        <v>1.27</v>
      </c>
      <c r="J6">
        <v>17.84</v>
      </c>
      <c r="K6">
        <f t="shared" si="1"/>
        <v>22.6568</v>
      </c>
      <c r="L6">
        <f t="shared" si="2"/>
        <v>0.16214633912790702</v>
      </c>
      <c r="M6">
        <v>0.36</v>
      </c>
      <c r="N6" t="s">
        <v>52</v>
      </c>
    </row>
    <row r="7" spans="1:14" x14ac:dyDescent="0.45">
      <c r="A7">
        <v>914.5</v>
      </c>
      <c r="B7">
        <v>16</v>
      </c>
      <c r="C7">
        <v>105</v>
      </c>
      <c r="D7" t="s">
        <v>12</v>
      </c>
      <c r="E7">
        <v>0.22</v>
      </c>
      <c r="F7">
        <v>1.08</v>
      </c>
      <c r="G7">
        <v>12.82</v>
      </c>
      <c r="H7">
        <f t="shared" si="0"/>
        <v>13.845600000000001</v>
      </c>
      <c r="I7">
        <v>0.99</v>
      </c>
      <c r="J7">
        <v>14.51</v>
      </c>
      <c r="K7">
        <f t="shared" si="1"/>
        <v>14.3649</v>
      </c>
      <c r="L7">
        <f t="shared" si="2"/>
        <v>0.12064521395297978</v>
      </c>
      <c r="M7">
        <v>0.28000000000000003</v>
      </c>
      <c r="N7" t="s">
        <v>53</v>
      </c>
    </row>
    <row r="8" spans="1:14" x14ac:dyDescent="0.45">
      <c r="A8">
        <v>1009</v>
      </c>
      <c r="B8">
        <v>10</v>
      </c>
      <c r="C8">
        <v>85</v>
      </c>
      <c r="D8" t="s">
        <v>14</v>
      </c>
      <c r="E8">
        <v>0.35</v>
      </c>
      <c r="F8">
        <v>1.01</v>
      </c>
      <c r="G8">
        <v>12.74</v>
      </c>
      <c r="H8">
        <f t="shared" si="0"/>
        <v>12.8674</v>
      </c>
      <c r="I8">
        <v>0.98</v>
      </c>
      <c r="J8">
        <v>15.74</v>
      </c>
      <c r="K8">
        <f t="shared" si="1"/>
        <v>15.4252</v>
      </c>
      <c r="L8">
        <f t="shared" si="2"/>
        <v>0.10162057843409314</v>
      </c>
      <c r="M8">
        <v>0.43</v>
      </c>
      <c r="N8" t="s">
        <v>54</v>
      </c>
    </row>
    <row r="9" spans="1:14" x14ac:dyDescent="0.45">
      <c r="A9">
        <v>479.9</v>
      </c>
      <c r="B9">
        <v>6.3</v>
      </c>
      <c r="C9">
        <v>85</v>
      </c>
      <c r="D9" t="s">
        <v>7</v>
      </c>
      <c r="E9">
        <v>0.43</v>
      </c>
      <c r="F9">
        <v>0.54</v>
      </c>
      <c r="G9">
        <v>9.3699999999999992</v>
      </c>
      <c r="H9">
        <f t="shared" si="0"/>
        <v>5.0598000000000001</v>
      </c>
      <c r="I9">
        <v>0.56000000000000005</v>
      </c>
      <c r="J9">
        <v>10.77</v>
      </c>
      <c r="K9">
        <f t="shared" si="1"/>
        <v>6.0312000000000001</v>
      </c>
      <c r="L9">
        <f t="shared" si="2"/>
        <v>8.4016508189206085E-2</v>
      </c>
      <c r="M9">
        <v>0.35</v>
      </c>
      <c r="N9" t="s">
        <v>55</v>
      </c>
    </row>
    <row r="10" spans="1:14" x14ac:dyDescent="0.45">
      <c r="A10">
        <v>478.5</v>
      </c>
      <c r="B10">
        <v>25</v>
      </c>
      <c r="C10">
        <v>105</v>
      </c>
      <c r="D10" t="s">
        <v>5</v>
      </c>
      <c r="E10">
        <v>0.32</v>
      </c>
      <c r="F10">
        <v>0.98</v>
      </c>
      <c r="G10">
        <v>15.94</v>
      </c>
      <c r="H10">
        <f t="shared" si="0"/>
        <v>15.6212</v>
      </c>
      <c r="I10">
        <v>0.99</v>
      </c>
      <c r="J10">
        <v>17.55</v>
      </c>
      <c r="K10">
        <f t="shared" si="1"/>
        <v>17.374500000000001</v>
      </c>
      <c r="L10">
        <f t="shared" si="2"/>
        <v>0.26014439774294673</v>
      </c>
      <c r="M10">
        <v>0.37</v>
      </c>
      <c r="N10" t="s">
        <v>54</v>
      </c>
    </row>
    <row r="11" spans="1:14" x14ac:dyDescent="0.45">
      <c r="A11">
        <v>484.9</v>
      </c>
      <c r="B11">
        <v>35</v>
      </c>
      <c r="C11">
        <v>105</v>
      </c>
      <c r="D11" t="s">
        <v>5</v>
      </c>
      <c r="E11">
        <v>0.37</v>
      </c>
      <c r="F11">
        <v>1.18</v>
      </c>
      <c r="G11">
        <v>18.45</v>
      </c>
      <c r="H11">
        <f t="shared" si="0"/>
        <v>21.770999999999997</v>
      </c>
      <c r="I11">
        <v>1.19</v>
      </c>
      <c r="J11">
        <v>20.45</v>
      </c>
      <c r="K11">
        <f t="shared" si="1"/>
        <v>24.3355</v>
      </c>
      <c r="L11">
        <f t="shared" si="2"/>
        <v>0.35777354217364399</v>
      </c>
      <c r="M11">
        <v>0.54</v>
      </c>
      <c r="N11" t="s">
        <v>55</v>
      </c>
    </row>
    <row r="12" spans="1:14" x14ac:dyDescent="0.45">
      <c r="A12">
        <v>447.8</v>
      </c>
      <c r="B12">
        <v>16</v>
      </c>
      <c r="C12">
        <v>85</v>
      </c>
      <c r="D12" t="s">
        <v>5</v>
      </c>
      <c r="E12">
        <v>0.39</v>
      </c>
      <c r="F12">
        <v>0.73</v>
      </c>
      <c r="G12">
        <v>12.6</v>
      </c>
      <c r="H12">
        <f t="shared" si="0"/>
        <v>9.1980000000000004</v>
      </c>
      <c r="I12">
        <v>0.69</v>
      </c>
      <c r="J12">
        <v>14.47</v>
      </c>
      <c r="K12">
        <f t="shared" si="1"/>
        <v>9.9842999999999993</v>
      </c>
      <c r="L12">
        <f t="shared" si="2"/>
        <v>0.16367838945958016</v>
      </c>
      <c r="M12">
        <v>0.48</v>
      </c>
      <c r="N12" t="s">
        <v>54</v>
      </c>
    </row>
    <row r="13" spans="1:14" x14ac:dyDescent="0.45">
      <c r="A13">
        <v>469.3</v>
      </c>
      <c r="B13">
        <v>25</v>
      </c>
      <c r="C13">
        <v>105</v>
      </c>
      <c r="D13" t="s">
        <v>11</v>
      </c>
      <c r="E13">
        <v>0.24</v>
      </c>
      <c r="F13">
        <v>1.52</v>
      </c>
      <c r="G13">
        <v>6.11</v>
      </c>
      <c r="H13">
        <f t="shared" si="0"/>
        <v>9.2872000000000003</v>
      </c>
      <c r="I13">
        <v>1.46</v>
      </c>
      <c r="J13">
        <v>8.99</v>
      </c>
      <c r="K13">
        <f t="shared" si="1"/>
        <v>13.125400000000001</v>
      </c>
      <c r="L13">
        <f t="shared" si="2"/>
        <v>0.15769440000000001</v>
      </c>
      <c r="M13">
        <v>0.35</v>
      </c>
      <c r="N13" t="s">
        <v>52</v>
      </c>
    </row>
    <row r="14" spans="1:14" x14ac:dyDescent="0.45">
      <c r="A14">
        <v>411.8</v>
      </c>
      <c r="B14">
        <v>25</v>
      </c>
      <c r="C14">
        <v>105</v>
      </c>
      <c r="D14" t="s">
        <v>18</v>
      </c>
      <c r="E14">
        <v>0.36</v>
      </c>
      <c r="F14">
        <v>0.67</v>
      </c>
      <c r="G14">
        <v>15</v>
      </c>
      <c r="H14">
        <f t="shared" si="0"/>
        <v>10.050000000000001</v>
      </c>
      <c r="I14">
        <v>0.66</v>
      </c>
      <c r="J14">
        <v>16.5</v>
      </c>
      <c r="K14">
        <f t="shared" si="1"/>
        <v>10.89</v>
      </c>
      <c r="L14">
        <f t="shared" si="2"/>
        <v>0.19447408936376881</v>
      </c>
      <c r="M14">
        <v>0.37</v>
      </c>
      <c r="N14" t="s">
        <v>53</v>
      </c>
    </row>
    <row r="15" spans="1:14" x14ac:dyDescent="0.45">
      <c r="A15">
        <v>423.3</v>
      </c>
      <c r="B15">
        <v>16</v>
      </c>
      <c r="C15">
        <v>105</v>
      </c>
      <c r="D15" t="s">
        <v>18</v>
      </c>
      <c r="E15">
        <v>0.34</v>
      </c>
      <c r="F15">
        <v>0.64</v>
      </c>
      <c r="G15">
        <v>10.52</v>
      </c>
      <c r="H15">
        <f t="shared" si="0"/>
        <v>6.7328000000000001</v>
      </c>
      <c r="I15">
        <v>0.64</v>
      </c>
      <c r="J15">
        <v>11.68</v>
      </c>
      <c r="K15">
        <f t="shared" si="1"/>
        <v>7.4752000000000001</v>
      </c>
      <c r="L15">
        <f t="shared" si="2"/>
        <v>0.12674460212615166</v>
      </c>
      <c r="M15">
        <v>0.32</v>
      </c>
      <c r="N15" t="s">
        <v>52</v>
      </c>
    </row>
    <row r="16" spans="1:14" x14ac:dyDescent="0.45">
      <c r="A16">
        <v>523.70000000000005</v>
      </c>
      <c r="B16">
        <v>10</v>
      </c>
      <c r="C16">
        <v>105</v>
      </c>
      <c r="D16" t="s">
        <v>19</v>
      </c>
      <c r="E16">
        <v>0.45</v>
      </c>
      <c r="F16">
        <v>0.66</v>
      </c>
      <c r="G16">
        <v>6.46</v>
      </c>
      <c r="H16">
        <f t="shared" si="0"/>
        <v>4.2636000000000003</v>
      </c>
      <c r="I16">
        <v>0.67</v>
      </c>
      <c r="J16">
        <v>7.12</v>
      </c>
      <c r="K16">
        <f t="shared" si="1"/>
        <v>4.7704000000000004</v>
      </c>
      <c r="L16">
        <f t="shared" si="2"/>
        <v>6.4874781286996364E-2</v>
      </c>
      <c r="M16">
        <v>0.33</v>
      </c>
      <c r="N16" t="s">
        <v>52</v>
      </c>
    </row>
    <row r="17" spans="1:14" x14ac:dyDescent="0.45">
      <c r="A17">
        <v>479.6</v>
      </c>
      <c r="B17">
        <v>6.3</v>
      </c>
      <c r="C17">
        <v>85</v>
      </c>
      <c r="D17" t="s">
        <v>14</v>
      </c>
      <c r="E17">
        <v>0.48</v>
      </c>
      <c r="F17">
        <v>0.64</v>
      </c>
      <c r="G17">
        <v>8.26</v>
      </c>
      <c r="H17">
        <f t="shared" si="0"/>
        <v>5.2863999999999995</v>
      </c>
      <c r="I17">
        <v>0.66</v>
      </c>
      <c r="J17">
        <v>9.2799999999999994</v>
      </c>
      <c r="K17">
        <f t="shared" si="1"/>
        <v>6.1247999999999996</v>
      </c>
      <c r="L17">
        <f t="shared" si="2"/>
        <v>8.7834043035863202E-2</v>
      </c>
      <c r="M17">
        <v>0.34</v>
      </c>
      <c r="N17" t="s">
        <v>53</v>
      </c>
    </row>
    <row r="18" spans="1:14" x14ac:dyDescent="0.45">
      <c r="A18">
        <v>468.1</v>
      </c>
      <c r="B18">
        <v>10</v>
      </c>
      <c r="C18">
        <v>105</v>
      </c>
      <c r="D18" t="s">
        <v>21</v>
      </c>
      <c r="E18">
        <v>0.43</v>
      </c>
      <c r="F18">
        <v>0.32</v>
      </c>
      <c r="G18">
        <v>7.38</v>
      </c>
      <c r="H18">
        <f t="shared" si="0"/>
        <v>2.3616000000000001</v>
      </c>
      <c r="I18">
        <v>0.35</v>
      </c>
      <c r="J18">
        <v>8.39</v>
      </c>
      <c r="K18">
        <f t="shared" si="1"/>
        <v>2.9365000000000001</v>
      </c>
      <c r="L18">
        <f t="shared" si="2"/>
        <v>4.0202191326639609E-2</v>
      </c>
      <c r="M18">
        <v>0.26</v>
      </c>
      <c r="N18" s="1" t="s">
        <v>53</v>
      </c>
    </row>
    <row r="19" spans="1:14" x14ac:dyDescent="0.45">
      <c r="A19">
        <v>227.8</v>
      </c>
      <c r="B19">
        <v>16</v>
      </c>
      <c r="C19">
        <v>85</v>
      </c>
      <c r="D19" t="s">
        <v>7</v>
      </c>
      <c r="E19">
        <v>0.47</v>
      </c>
      <c r="F19">
        <v>0.54</v>
      </c>
      <c r="G19">
        <v>10.99</v>
      </c>
      <c r="H19">
        <f t="shared" si="0"/>
        <v>5.9346000000000005</v>
      </c>
      <c r="I19">
        <v>0.53</v>
      </c>
      <c r="J19">
        <v>9.14</v>
      </c>
      <c r="K19">
        <f t="shared" si="1"/>
        <v>4.8442000000000007</v>
      </c>
      <c r="L19">
        <f t="shared" si="2"/>
        <v>0.20759637208077258</v>
      </c>
      <c r="M19">
        <v>0.38</v>
      </c>
      <c r="N19" s="1" t="s">
        <v>52</v>
      </c>
    </row>
    <row r="20" spans="1:14" x14ac:dyDescent="0.45">
      <c r="A20">
        <v>254.4</v>
      </c>
      <c r="B20">
        <v>10</v>
      </c>
      <c r="C20">
        <v>85</v>
      </c>
      <c r="D20" t="s">
        <v>7</v>
      </c>
      <c r="E20">
        <v>0.51</v>
      </c>
      <c r="F20">
        <v>0.59</v>
      </c>
      <c r="G20">
        <v>5.73</v>
      </c>
      <c r="H20">
        <f t="shared" si="0"/>
        <v>3.3807</v>
      </c>
      <c r="I20">
        <v>0.62</v>
      </c>
      <c r="J20">
        <v>6.55</v>
      </c>
      <c r="K20">
        <f t="shared" si="1"/>
        <v>4.0609999999999999</v>
      </c>
      <c r="L20">
        <f t="shared" si="2"/>
        <v>0.10589404882075469</v>
      </c>
      <c r="M20">
        <v>0.36</v>
      </c>
      <c r="N20" s="1" t="s">
        <v>52</v>
      </c>
    </row>
    <row r="21" spans="1:14" x14ac:dyDescent="0.45">
      <c r="A21">
        <v>229</v>
      </c>
      <c r="B21">
        <v>6.3</v>
      </c>
      <c r="C21">
        <v>85</v>
      </c>
      <c r="D21" t="s">
        <v>7</v>
      </c>
      <c r="E21">
        <v>0.74</v>
      </c>
      <c r="F21">
        <v>0.28999999999999998</v>
      </c>
      <c r="G21">
        <v>8.14</v>
      </c>
      <c r="H21">
        <f t="shared" si="0"/>
        <v>2.3605999999999998</v>
      </c>
      <c r="I21">
        <v>0.28000000000000003</v>
      </c>
      <c r="J21">
        <v>9.4</v>
      </c>
      <c r="K21">
        <f t="shared" si="1"/>
        <v>2.6320000000000006</v>
      </c>
      <c r="L21">
        <f t="shared" si="2"/>
        <v>8.214269502183405E-2</v>
      </c>
      <c r="M21">
        <v>0.19</v>
      </c>
      <c r="N21" s="1" t="s">
        <v>52</v>
      </c>
    </row>
    <row r="22" spans="1:14" x14ac:dyDescent="0.45">
      <c r="A22">
        <v>217.6</v>
      </c>
      <c r="B22">
        <v>16</v>
      </c>
      <c r="C22">
        <v>85</v>
      </c>
      <c r="D22" t="s">
        <v>22</v>
      </c>
      <c r="E22">
        <v>0.43</v>
      </c>
      <c r="F22">
        <v>0.5</v>
      </c>
      <c r="G22">
        <v>15.69</v>
      </c>
      <c r="H22">
        <f t="shared" si="0"/>
        <v>7.8449999999999998</v>
      </c>
      <c r="I22">
        <v>0.43</v>
      </c>
      <c r="J22">
        <v>17.84</v>
      </c>
      <c r="K22">
        <f t="shared" si="1"/>
        <v>7.6711999999999998</v>
      </c>
      <c r="L22">
        <f t="shared" si="2"/>
        <v>0.28728707261029413</v>
      </c>
      <c r="M22">
        <v>0.46</v>
      </c>
      <c r="N22" s="1" t="s">
        <v>55</v>
      </c>
    </row>
    <row r="23" spans="1:14" x14ac:dyDescent="0.45">
      <c r="A23">
        <v>224.8</v>
      </c>
      <c r="B23">
        <v>16</v>
      </c>
      <c r="C23">
        <v>105</v>
      </c>
      <c r="D23" t="s">
        <v>11</v>
      </c>
      <c r="E23">
        <v>0.39</v>
      </c>
      <c r="F23">
        <v>0.62</v>
      </c>
      <c r="G23">
        <v>5.28</v>
      </c>
      <c r="H23">
        <f t="shared" si="0"/>
        <v>3.2736000000000001</v>
      </c>
      <c r="I23">
        <v>0.64</v>
      </c>
      <c r="J23">
        <v>6.12</v>
      </c>
      <c r="K23">
        <f t="shared" si="1"/>
        <v>3.9168000000000003</v>
      </c>
      <c r="L23">
        <f t="shared" si="2"/>
        <v>0.11604096512455515</v>
      </c>
      <c r="M23">
        <v>0.33</v>
      </c>
      <c r="N23" s="1" t="s">
        <v>52</v>
      </c>
    </row>
    <row r="24" spans="1:14" x14ac:dyDescent="0.45">
      <c r="A24">
        <v>226.2</v>
      </c>
      <c r="B24">
        <v>25</v>
      </c>
      <c r="C24">
        <v>105</v>
      </c>
      <c r="D24" t="s">
        <v>25</v>
      </c>
      <c r="E24">
        <v>0.55000000000000004</v>
      </c>
      <c r="F24">
        <v>0.64</v>
      </c>
      <c r="G24">
        <v>9.32</v>
      </c>
      <c r="H24">
        <f t="shared" si="0"/>
        <v>5.9648000000000003</v>
      </c>
      <c r="I24">
        <v>0.63</v>
      </c>
      <c r="J24">
        <v>10.27</v>
      </c>
      <c r="K24">
        <f t="shared" si="1"/>
        <v>6.4700999999999995</v>
      </c>
      <c r="L24">
        <f t="shared" si="2"/>
        <v>0.21012867055702919</v>
      </c>
      <c r="M24">
        <v>0.38</v>
      </c>
      <c r="N24" s="1" t="s">
        <v>57</v>
      </c>
    </row>
    <row r="25" spans="1:14" x14ac:dyDescent="0.45">
      <c r="A25">
        <v>212.6</v>
      </c>
      <c r="B25">
        <v>16</v>
      </c>
      <c r="C25">
        <v>85</v>
      </c>
      <c r="D25" t="s">
        <v>26</v>
      </c>
      <c r="E25">
        <v>0.99</v>
      </c>
      <c r="F25">
        <v>0.66</v>
      </c>
      <c r="G25">
        <v>5.75</v>
      </c>
      <c r="H25">
        <f t="shared" si="0"/>
        <v>3.7950000000000004</v>
      </c>
      <c r="I25">
        <v>0.63</v>
      </c>
      <c r="J25">
        <v>6.92</v>
      </c>
      <c r="K25">
        <f t="shared" si="1"/>
        <v>4.3596000000000004</v>
      </c>
      <c r="L25">
        <f t="shared" si="2"/>
        <v>0.14224288334901225</v>
      </c>
      <c r="M25">
        <v>0.34</v>
      </c>
      <c r="N25" s="1" t="s">
        <v>56</v>
      </c>
    </row>
    <row r="26" spans="1:14" x14ac:dyDescent="0.45">
      <c r="A26">
        <v>206.4</v>
      </c>
      <c r="B26">
        <v>50</v>
      </c>
      <c r="C26">
        <v>85</v>
      </c>
      <c r="D26" t="s">
        <v>27</v>
      </c>
      <c r="E26">
        <v>0.38</v>
      </c>
      <c r="F26">
        <v>1.02</v>
      </c>
      <c r="G26">
        <v>14.95</v>
      </c>
      <c r="H26">
        <f t="shared" si="0"/>
        <v>15.248999999999999</v>
      </c>
      <c r="I26">
        <v>1.04</v>
      </c>
      <c r="J26">
        <v>17.75</v>
      </c>
      <c r="K26">
        <f t="shared" si="1"/>
        <v>18.46</v>
      </c>
      <c r="L26">
        <f t="shared" si="2"/>
        <v>0.58872665406976743</v>
      </c>
      <c r="M26">
        <v>0.37</v>
      </c>
      <c r="N26" s="1" t="s">
        <v>56</v>
      </c>
    </row>
    <row r="27" spans="1:14" x14ac:dyDescent="0.45">
      <c r="A27">
        <v>244</v>
      </c>
      <c r="B27">
        <v>6.3</v>
      </c>
      <c r="C27">
        <v>85</v>
      </c>
      <c r="D27" t="s">
        <v>27</v>
      </c>
      <c r="E27">
        <v>0.53</v>
      </c>
      <c r="F27">
        <v>0.63</v>
      </c>
      <c r="G27">
        <v>4.49</v>
      </c>
      <c r="H27">
        <f t="shared" si="0"/>
        <v>2.8287</v>
      </c>
      <c r="I27">
        <v>0.64</v>
      </c>
      <c r="J27">
        <v>4.91</v>
      </c>
      <c r="K27">
        <f t="shared" si="1"/>
        <v>3.1424000000000003</v>
      </c>
      <c r="L27">
        <f t="shared" si="2"/>
        <v>9.2380241065573757E-2</v>
      </c>
      <c r="M27">
        <v>0.33</v>
      </c>
      <c r="N27" s="1" t="s">
        <v>58</v>
      </c>
    </row>
    <row r="28" spans="1:14" x14ac:dyDescent="0.45">
      <c r="A28">
        <v>298.7</v>
      </c>
      <c r="B28">
        <v>10</v>
      </c>
      <c r="C28">
        <v>105</v>
      </c>
      <c r="D28" t="s">
        <v>28</v>
      </c>
      <c r="E28">
        <v>0.38</v>
      </c>
      <c r="F28">
        <v>0.63</v>
      </c>
      <c r="G28">
        <v>3.41</v>
      </c>
      <c r="H28">
        <f t="shared" si="0"/>
        <v>2.1483000000000003</v>
      </c>
      <c r="I28">
        <v>0.62</v>
      </c>
      <c r="J28">
        <v>3.97</v>
      </c>
      <c r="K28">
        <f t="shared" si="1"/>
        <v>2.4614000000000003</v>
      </c>
      <c r="L28">
        <f t="shared" si="2"/>
        <v>5.7311494409106128E-2</v>
      </c>
      <c r="M28">
        <v>0.36</v>
      </c>
      <c r="N28" s="1" t="s">
        <v>56</v>
      </c>
    </row>
    <row r="29" spans="1:14" x14ac:dyDescent="0.45">
      <c r="A29">
        <v>90.96</v>
      </c>
      <c r="B29">
        <v>50</v>
      </c>
      <c r="C29">
        <v>105</v>
      </c>
      <c r="D29" t="s">
        <v>5</v>
      </c>
      <c r="E29">
        <v>0.43</v>
      </c>
      <c r="F29">
        <v>0.47</v>
      </c>
      <c r="G29">
        <v>22.16</v>
      </c>
      <c r="H29">
        <f t="shared" si="0"/>
        <v>10.415199999999999</v>
      </c>
      <c r="I29">
        <v>0.47</v>
      </c>
      <c r="J29">
        <v>23.68</v>
      </c>
      <c r="K29">
        <f t="shared" si="1"/>
        <v>11.1296</v>
      </c>
      <c r="L29">
        <f t="shared" si="2"/>
        <v>0.91242922955145134</v>
      </c>
      <c r="M29">
        <v>0.27</v>
      </c>
      <c r="N29" s="1" t="s">
        <v>57</v>
      </c>
    </row>
    <row r="30" spans="1:14" x14ac:dyDescent="0.45">
      <c r="A30">
        <v>99.66</v>
      </c>
      <c r="B30">
        <v>10</v>
      </c>
      <c r="C30">
        <v>85</v>
      </c>
      <c r="D30" t="s">
        <v>22</v>
      </c>
      <c r="E30">
        <v>0.7</v>
      </c>
      <c r="F30">
        <v>0.56000000000000005</v>
      </c>
      <c r="G30">
        <v>4.21</v>
      </c>
      <c r="H30">
        <f t="shared" si="0"/>
        <v>2.3576000000000001</v>
      </c>
      <c r="I30">
        <v>0.52</v>
      </c>
      <c r="J30">
        <v>4.97</v>
      </c>
      <c r="K30">
        <f t="shared" si="1"/>
        <v>2.5844</v>
      </c>
      <c r="L30">
        <f t="shared" si="2"/>
        <v>0.18850864298615291</v>
      </c>
      <c r="M30">
        <v>0.43</v>
      </c>
      <c r="N30" s="1" t="s">
        <v>59</v>
      </c>
    </row>
    <row r="31" spans="1:14" x14ac:dyDescent="0.45">
      <c r="A31">
        <v>90.88</v>
      </c>
      <c r="B31">
        <v>16</v>
      </c>
      <c r="C31">
        <v>85</v>
      </c>
      <c r="D31" t="s">
        <v>7</v>
      </c>
      <c r="E31">
        <v>0.98</v>
      </c>
      <c r="F31">
        <v>0.28000000000000003</v>
      </c>
      <c r="G31">
        <v>8.49</v>
      </c>
      <c r="H31">
        <f t="shared" si="0"/>
        <v>2.3772000000000002</v>
      </c>
      <c r="I31">
        <v>0.33</v>
      </c>
      <c r="J31">
        <v>8.9700000000000006</v>
      </c>
      <c r="K31">
        <f t="shared" si="1"/>
        <v>2.9601000000000002</v>
      </c>
      <c r="L31">
        <f t="shared" si="2"/>
        <v>0.20843921566901408</v>
      </c>
      <c r="M31">
        <v>0.24</v>
      </c>
      <c r="N31" s="1" t="s">
        <v>58</v>
      </c>
    </row>
    <row r="32" spans="1:14" x14ac:dyDescent="0.45">
      <c r="A32">
        <v>117.9</v>
      </c>
      <c r="B32">
        <v>10</v>
      </c>
      <c r="C32">
        <v>105</v>
      </c>
      <c r="D32" t="s">
        <v>33</v>
      </c>
      <c r="E32">
        <v>1.2</v>
      </c>
      <c r="F32">
        <v>0.34</v>
      </c>
      <c r="G32">
        <v>3.01</v>
      </c>
      <c r="H32">
        <f t="shared" si="0"/>
        <v>1.0234000000000001</v>
      </c>
      <c r="I32">
        <v>0.28999999999999998</v>
      </c>
      <c r="J32">
        <v>4.07</v>
      </c>
      <c r="K32">
        <f t="shared" si="1"/>
        <v>1.1802999999999999</v>
      </c>
      <c r="L32">
        <f t="shared" si="2"/>
        <v>6.9169340458015274E-2</v>
      </c>
      <c r="M32">
        <v>0.24</v>
      </c>
      <c r="N32" s="1" t="s">
        <v>56</v>
      </c>
    </row>
    <row r="33" spans="1:14" x14ac:dyDescent="0.45">
      <c r="A33">
        <v>110.2</v>
      </c>
      <c r="B33">
        <v>16</v>
      </c>
      <c r="C33">
        <v>105</v>
      </c>
      <c r="D33" t="s">
        <v>35</v>
      </c>
      <c r="E33">
        <v>0.94</v>
      </c>
      <c r="F33">
        <v>0.36</v>
      </c>
      <c r="G33">
        <v>3.24</v>
      </c>
      <c r="H33">
        <f t="shared" si="0"/>
        <v>1.1664000000000001</v>
      </c>
      <c r="I33">
        <v>0.34</v>
      </c>
      <c r="J33">
        <v>4.38</v>
      </c>
      <c r="K33">
        <f t="shared" si="1"/>
        <v>1.4892000000000001</v>
      </c>
      <c r="L33">
        <f t="shared" si="2"/>
        <v>8.4342786206896558E-2</v>
      </c>
      <c r="M33">
        <v>0.23</v>
      </c>
      <c r="N33" s="1" t="s">
        <v>58</v>
      </c>
    </row>
    <row r="34" spans="1:14" x14ac:dyDescent="0.45">
      <c r="A34">
        <v>111.9</v>
      </c>
      <c r="B34">
        <v>10</v>
      </c>
      <c r="C34">
        <v>105</v>
      </c>
      <c r="D34" t="s">
        <v>24</v>
      </c>
      <c r="E34">
        <v>1.2</v>
      </c>
      <c r="F34">
        <v>0.39</v>
      </c>
      <c r="G34">
        <v>2.79</v>
      </c>
      <c r="H34">
        <f t="shared" ref="H34:H65" si="3">F34*G34</f>
        <v>1.0881000000000001</v>
      </c>
      <c r="I34">
        <v>0.36</v>
      </c>
      <c r="J34">
        <v>3.39</v>
      </c>
      <c r="K34">
        <f t="shared" ref="K34:K65" si="4">I34*J34</f>
        <v>1.2203999999999999</v>
      </c>
      <c r="L34">
        <f t="shared" ref="L34:L65" si="5">(((8.854*10^-12*9)*(H34*10^-4))/(A34*10^-6))*10^9</f>
        <v>7.7485555495978561E-2</v>
      </c>
      <c r="M34">
        <v>0.23</v>
      </c>
      <c r="N34" s="1" t="s">
        <v>56</v>
      </c>
    </row>
    <row r="35" spans="1:14" x14ac:dyDescent="0.45">
      <c r="A35">
        <v>96.34</v>
      </c>
      <c r="B35">
        <v>25</v>
      </c>
      <c r="C35">
        <v>105</v>
      </c>
      <c r="D35" t="s">
        <v>36</v>
      </c>
      <c r="E35">
        <v>0.69</v>
      </c>
      <c r="F35">
        <v>0.32</v>
      </c>
      <c r="G35">
        <v>5.45</v>
      </c>
      <c r="H35">
        <f t="shared" si="3"/>
        <v>1.744</v>
      </c>
      <c r="I35">
        <v>0.42</v>
      </c>
      <c r="J35">
        <v>5.77</v>
      </c>
      <c r="K35">
        <f t="shared" si="4"/>
        <v>2.4233999999999996</v>
      </c>
      <c r="L35">
        <f t="shared" si="5"/>
        <v>0.14425200747353126</v>
      </c>
      <c r="M35">
        <v>0.21</v>
      </c>
      <c r="N35" s="1" t="s">
        <v>58</v>
      </c>
    </row>
    <row r="36" spans="1:14" x14ac:dyDescent="0.45">
      <c r="A36">
        <v>129.6</v>
      </c>
      <c r="B36">
        <v>10</v>
      </c>
      <c r="C36">
        <v>85</v>
      </c>
      <c r="D36" t="s">
        <v>37</v>
      </c>
      <c r="E36">
        <v>0.94</v>
      </c>
      <c r="F36">
        <v>0.48</v>
      </c>
      <c r="G36">
        <v>3.09</v>
      </c>
      <c r="H36">
        <f t="shared" si="3"/>
        <v>1.4831999999999999</v>
      </c>
      <c r="I36">
        <v>0.47</v>
      </c>
      <c r="J36">
        <v>4.0199999999999996</v>
      </c>
      <c r="K36">
        <f t="shared" si="4"/>
        <v>1.8893999999999997</v>
      </c>
      <c r="L36">
        <f t="shared" si="5"/>
        <v>9.1196199999999991E-2</v>
      </c>
      <c r="M36">
        <v>0.34</v>
      </c>
      <c r="N36" s="1" t="s">
        <v>58</v>
      </c>
    </row>
    <row r="37" spans="1:14" x14ac:dyDescent="0.45">
      <c r="A37">
        <v>100.7</v>
      </c>
      <c r="B37">
        <v>16</v>
      </c>
      <c r="C37">
        <v>85</v>
      </c>
      <c r="D37" t="s">
        <v>38</v>
      </c>
      <c r="E37">
        <v>0.75</v>
      </c>
      <c r="F37">
        <v>0.53</v>
      </c>
      <c r="G37">
        <v>5</v>
      </c>
      <c r="H37">
        <f t="shared" si="3"/>
        <v>2.6500000000000004</v>
      </c>
      <c r="I37">
        <v>0.48</v>
      </c>
      <c r="J37">
        <v>5.99</v>
      </c>
      <c r="K37">
        <f t="shared" si="4"/>
        <v>2.8752</v>
      </c>
      <c r="L37">
        <f t="shared" si="5"/>
        <v>0.2097</v>
      </c>
      <c r="M37">
        <v>0.33</v>
      </c>
      <c r="N37" s="1" t="s">
        <v>58</v>
      </c>
    </row>
    <row r="38" spans="1:14" x14ac:dyDescent="0.45">
      <c r="A38">
        <v>106.2</v>
      </c>
      <c r="B38">
        <v>10</v>
      </c>
      <c r="C38">
        <v>85</v>
      </c>
      <c r="D38" t="s">
        <v>38</v>
      </c>
      <c r="E38">
        <v>1.2</v>
      </c>
      <c r="F38">
        <v>0.52</v>
      </c>
      <c r="G38">
        <v>2.16</v>
      </c>
      <c r="H38">
        <f t="shared" si="3"/>
        <v>1.1232000000000002</v>
      </c>
      <c r="I38">
        <v>0.48</v>
      </c>
      <c r="J38">
        <v>3.34</v>
      </c>
      <c r="K38">
        <f t="shared" si="4"/>
        <v>1.6032</v>
      </c>
      <c r="L38">
        <f t="shared" si="5"/>
        <v>8.4278074576271192E-2</v>
      </c>
      <c r="M38">
        <v>0.34</v>
      </c>
      <c r="N38" s="1" t="s">
        <v>56</v>
      </c>
    </row>
    <row r="39" spans="1:14" x14ac:dyDescent="0.45">
      <c r="A39">
        <v>105.5</v>
      </c>
      <c r="B39">
        <v>25</v>
      </c>
      <c r="C39">
        <v>105</v>
      </c>
      <c r="D39" t="s">
        <v>39</v>
      </c>
      <c r="E39">
        <v>0.53</v>
      </c>
      <c r="F39">
        <v>0.62</v>
      </c>
      <c r="G39">
        <v>6.38</v>
      </c>
      <c r="H39">
        <f t="shared" si="3"/>
        <v>3.9556</v>
      </c>
      <c r="I39">
        <v>0.59</v>
      </c>
      <c r="J39">
        <v>7.48</v>
      </c>
      <c r="K39">
        <f t="shared" si="4"/>
        <v>4.4131999999999998</v>
      </c>
      <c r="L39">
        <f t="shared" si="5"/>
        <v>0.29877340436018962</v>
      </c>
      <c r="M39">
        <v>0.28000000000000003</v>
      </c>
      <c r="N39" s="1" t="s">
        <v>58</v>
      </c>
    </row>
    <row r="40" spans="1:14" x14ac:dyDescent="0.45">
      <c r="A40">
        <v>46.62</v>
      </c>
      <c r="B40">
        <v>35</v>
      </c>
      <c r="C40">
        <v>105</v>
      </c>
      <c r="D40" t="s">
        <v>5</v>
      </c>
      <c r="E40">
        <v>1</v>
      </c>
      <c r="F40">
        <v>0.72</v>
      </c>
      <c r="G40">
        <v>7.41</v>
      </c>
      <c r="H40">
        <f t="shared" si="3"/>
        <v>5.3351999999999995</v>
      </c>
      <c r="I40">
        <v>0.66</v>
      </c>
      <c r="J40">
        <v>8.66</v>
      </c>
      <c r="K40">
        <f t="shared" si="4"/>
        <v>5.7156000000000002</v>
      </c>
      <c r="L40">
        <f t="shared" si="5"/>
        <v>0.91192781467181461</v>
      </c>
      <c r="M40">
        <v>0.31</v>
      </c>
      <c r="N40" s="1" t="s">
        <v>57</v>
      </c>
    </row>
    <row r="41" spans="1:14" x14ac:dyDescent="0.45">
      <c r="A41">
        <v>47.58</v>
      </c>
      <c r="B41">
        <v>50</v>
      </c>
      <c r="C41">
        <v>85</v>
      </c>
      <c r="D41" t="s">
        <v>5</v>
      </c>
      <c r="E41">
        <v>0.7</v>
      </c>
      <c r="F41">
        <v>0.68</v>
      </c>
      <c r="G41">
        <v>5.65</v>
      </c>
      <c r="H41">
        <f t="shared" si="3"/>
        <v>3.8420000000000005</v>
      </c>
      <c r="I41">
        <v>0.71</v>
      </c>
      <c r="J41">
        <v>7.02</v>
      </c>
      <c r="K41">
        <f t="shared" si="4"/>
        <v>4.9841999999999995</v>
      </c>
      <c r="L41">
        <f t="shared" si="5"/>
        <v>0.6434502143757882</v>
      </c>
      <c r="M41">
        <v>0.26</v>
      </c>
      <c r="N41" s="1" t="s">
        <v>57</v>
      </c>
    </row>
    <row r="42" spans="1:14" x14ac:dyDescent="0.45">
      <c r="A42">
        <v>48</v>
      </c>
      <c r="B42">
        <v>16</v>
      </c>
      <c r="C42">
        <v>85</v>
      </c>
      <c r="D42" t="s">
        <v>5</v>
      </c>
      <c r="E42">
        <v>1.4</v>
      </c>
      <c r="F42">
        <v>0.68</v>
      </c>
      <c r="G42">
        <v>2.4</v>
      </c>
      <c r="H42">
        <f t="shared" si="3"/>
        <v>1.6320000000000001</v>
      </c>
      <c r="I42">
        <v>0.67</v>
      </c>
      <c r="J42">
        <v>3.12</v>
      </c>
      <c r="K42">
        <f t="shared" si="4"/>
        <v>2.0904000000000003</v>
      </c>
      <c r="L42">
        <f t="shared" si="5"/>
        <v>0.27093239999999996</v>
      </c>
      <c r="M42">
        <v>0.26</v>
      </c>
      <c r="N42" s="1" t="s">
        <v>57</v>
      </c>
    </row>
    <row r="43" spans="1:14" x14ac:dyDescent="0.45">
      <c r="A43">
        <v>48.99</v>
      </c>
      <c r="B43">
        <v>35</v>
      </c>
      <c r="C43">
        <v>105</v>
      </c>
      <c r="D43" t="s">
        <v>5</v>
      </c>
      <c r="E43">
        <v>1.2</v>
      </c>
      <c r="F43">
        <v>0.48</v>
      </c>
      <c r="G43">
        <v>7.58</v>
      </c>
      <c r="H43">
        <f t="shared" si="3"/>
        <v>3.6383999999999999</v>
      </c>
      <c r="I43">
        <v>0.48</v>
      </c>
      <c r="J43">
        <v>9.4700000000000006</v>
      </c>
      <c r="K43">
        <f t="shared" si="4"/>
        <v>4.5456000000000003</v>
      </c>
      <c r="L43">
        <f t="shared" si="5"/>
        <v>0.59181372198407833</v>
      </c>
      <c r="M43">
        <v>0.28999999999999998</v>
      </c>
      <c r="N43" s="1" t="s">
        <v>59</v>
      </c>
    </row>
    <row r="44" spans="1:14" x14ac:dyDescent="0.45">
      <c r="A44">
        <v>49.65</v>
      </c>
      <c r="B44">
        <v>10</v>
      </c>
      <c r="C44">
        <v>85</v>
      </c>
      <c r="D44" t="s">
        <v>5</v>
      </c>
      <c r="E44">
        <v>1.7</v>
      </c>
      <c r="F44">
        <v>0.34</v>
      </c>
      <c r="G44">
        <v>0.36</v>
      </c>
      <c r="H44">
        <f t="shared" si="3"/>
        <v>0.12240000000000001</v>
      </c>
      <c r="I44">
        <v>0.28999999999999998</v>
      </c>
      <c r="J44">
        <v>4.3899999999999997</v>
      </c>
      <c r="K44">
        <f t="shared" si="4"/>
        <v>1.2730999999999999</v>
      </c>
      <c r="L44">
        <f t="shared" si="5"/>
        <v>1.9644645317220547E-2</v>
      </c>
      <c r="M44">
        <v>0.26</v>
      </c>
      <c r="N44" s="1" t="s">
        <v>59</v>
      </c>
    </row>
    <row r="45" spans="1:14" x14ac:dyDescent="0.45">
      <c r="A45">
        <v>47.96</v>
      </c>
      <c r="B45">
        <v>16</v>
      </c>
      <c r="C45">
        <v>85</v>
      </c>
      <c r="D45" t="s">
        <v>5</v>
      </c>
      <c r="E45">
        <v>1</v>
      </c>
      <c r="F45">
        <v>0.23</v>
      </c>
      <c r="G45">
        <v>6.58</v>
      </c>
      <c r="H45">
        <f t="shared" si="3"/>
        <v>1.5134000000000001</v>
      </c>
      <c r="I45">
        <v>0.24</v>
      </c>
      <c r="J45">
        <v>7.77</v>
      </c>
      <c r="K45">
        <f t="shared" si="4"/>
        <v>1.8647999999999998</v>
      </c>
      <c r="L45">
        <f t="shared" si="5"/>
        <v>0.25145286155129271</v>
      </c>
      <c r="M45">
        <v>0.13</v>
      </c>
      <c r="N45" s="1" t="s">
        <v>57</v>
      </c>
    </row>
    <row r="46" spans="1:14" x14ac:dyDescent="0.45">
      <c r="A46">
        <v>50.15</v>
      </c>
      <c r="B46">
        <v>10</v>
      </c>
      <c r="C46">
        <v>85</v>
      </c>
      <c r="D46" t="s">
        <v>7</v>
      </c>
      <c r="E46">
        <v>1</v>
      </c>
      <c r="F46">
        <v>0.46</v>
      </c>
      <c r="G46">
        <v>2.48</v>
      </c>
      <c r="H46">
        <f t="shared" si="3"/>
        <v>1.1408</v>
      </c>
      <c r="I46">
        <v>0.48</v>
      </c>
      <c r="J46">
        <v>0.33</v>
      </c>
      <c r="K46">
        <f t="shared" si="4"/>
        <v>0.15840000000000001</v>
      </c>
      <c r="L46">
        <f t="shared" si="5"/>
        <v>0.18126777427716848</v>
      </c>
      <c r="M46">
        <v>0.33</v>
      </c>
      <c r="N46" s="1" t="s">
        <v>56</v>
      </c>
    </row>
    <row r="47" spans="1:14" x14ac:dyDescent="0.45">
      <c r="A47">
        <v>46.39</v>
      </c>
      <c r="B47">
        <v>16</v>
      </c>
      <c r="C47">
        <v>85</v>
      </c>
      <c r="D47" t="s">
        <v>7</v>
      </c>
      <c r="E47">
        <v>0.84</v>
      </c>
      <c r="F47">
        <v>0.27</v>
      </c>
      <c r="G47">
        <v>7.51</v>
      </c>
      <c r="H47">
        <f t="shared" si="3"/>
        <v>2.0277000000000003</v>
      </c>
      <c r="I47">
        <v>0.28999999999999998</v>
      </c>
      <c r="J47">
        <v>9.19</v>
      </c>
      <c r="K47">
        <f t="shared" si="4"/>
        <v>2.6650999999999998</v>
      </c>
      <c r="L47">
        <f t="shared" si="5"/>
        <v>0.3483063207587842</v>
      </c>
      <c r="M47">
        <v>0.5</v>
      </c>
      <c r="N47" s="1" t="s">
        <v>57</v>
      </c>
    </row>
    <row r="48" spans="1:14" x14ac:dyDescent="0.45">
      <c r="A48">
        <v>51.07</v>
      </c>
      <c r="B48">
        <v>6.3</v>
      </c>
      <c r="C48">
        <v>85</v>
      </c>
      <c r="D48" t="s">
        <v>7</v>
      </c>
      <c r="E48">
        <v>2.5</v>
      </c>
      <c r="F48">
        <v>0.28000000000000003</v>
      </c>
      <c r="G48">
        <v>1.91</v>
      </c>
      <c r="H48">
        <f t="shared" si="3"/>
        <v>0.53480000000000005</v>
      </c>
      <c r="I48">
        <v>0.28999999999999998</v>
      </c>
      <c r="J48">
        <v>2.39</v>
      </c>
      <c r="K48">
        <f t="shared" si="4"/>
        <v>0.69309999999999994</v>
      </c>
      <c r="L48">
        <f t="shared" si="5"/>
        <v>8.3446392794204044E-2</v>
      </c>
      <c r="M48">
        <v>0.23</v>
      </c>
      <c r="N48" s="1" t="s">
        <v>58</v>
      </c>
    </row>
    <row r="49" spans="1:14" x14ac:dyDescent="0.45">
      <c r="A49">
        <v>47.46</v>
      </c>
      <c r="B49">
        <v>10</v>
      </c>
      <c r="C49">
        <v>85</v>
      </c>
      <c r="D49" t="s">
        <v>7</v>
      </c>
      <c r="E49">
        <v>0.91</v>
      </c>
      <c r="F49">
        <v>0.28000000000000003</v>
      </c>
      <c r="G49">
        <v>5.82</v>
      </c>
      <c r="H49">
        <f t="shared" si="3"/>
        <v>1.6296000000000002</v>
      </c>
      <c r="I49">
        <v>0.28000000000000003</v>
      </c>
      <c r="J49">
        <v>6.48</v>
      </c>
      <c r="K49">
        <f t="shared" si="4"/>
        <v>1.8144000000000002</v>
      </c>
      <c r="L49">
        <f t="shared" si="5"/>
        <v>0.27361210619469029</v>
      </c>
      <c r="M49">
        <v>0.19</v>
      </c>
      <c r="N49" s="1" t="s">
        <v>58</v>
      </c>
    </row>
    <row r="50" spans="1:14" x14ac:dyDescent="0.45">
      <c r="A50">
        <v>42.36</v>
      </c>
      <c r="B50">
        <v>16</v>
      </c>
      <c r="C50">
        <v>85</v>
      </c>
      <c r="D50" t="s">
        <v>22</v>
      </c>
      <c r="E50">
        <v>0.8</v>
      </c>
      <c r="F50">
        <v>0.54</v>
      </c>
      <c r="G50">
        <v>3.24</v>
      </c>
      <c r="H50">
        <f t="shared" si="3"/>
        <v>1.7496000000000003</v>
      </c>
      <c r="I50">
        <v>0.52</v>
      </c>
      <c r="J50">
        <v>4.5599999999999996</v>
      </c>
      <c r="K50">
        <f t="shared" si="4"/>
        <v>2.3712</v>
      </c>
      <c r="L50">
        <f t="shared" si="5"/>
        <v>0.32912801133144487</v>
      </c>
      <c r="M50">
        <v>0.32</v>
      </c>
      <c r="N50" s="1" t="s">
        <v>59</v>
      </c>
    </row>
    <row r="51" spans="1:14" x14ac:dyDescent="0.45">
      <c r="A51">
        <v>52.09</v>
      </c>
      <c r="B51">
        <v>10</v>
      </c>
      <c r="C51">
        <v>85</v>
      </c>
      <c r="D51" t="s">
        <v>22</v>
      </c>
      <c r="E51">
        <v>1.1000000000000001</v>
      </c>
      <c r="F51">
        <v>0.56000000000000005</v>
      </c>
      <c r="G51">
        <v>2.41</v>
      </c>
      <c r="H51">
        <f t="shared" si="3"/>
        <v>1.3496000000000001</v>
      </c>
      <c r="I51">
        <v>0.52</v>
      </c>
      <c r="J51">
        <v>3.08</v>
      </c>
      <c r="K51">
        <f t="shared" si="4"/>
        <v>1.6016000000000001</v>
      </c>
      <c r="L51">
        <f t="shared" si="5"/>
        <v>0.20645848646573239</v>
      </c>
      <c r="M51">
        <v>0.42</v>
      </c>
      <c r="N51" s="1" t="s">
        <v>59</v>
      </c>
    </row>
    <row r="52" spans="1:14" x14ac:dyDescent="0.45">
      <c r="A52">
        <v>46.25</v>
      </c>
      <c r="B52">
        <v>16</v>
      </c>
      <c r="C52">
        <v>105</v>
      </c>
      <c r="D52" t="s">
        <v>43</v>
      </c>
      <c r="E52">
        <v>0.87</v>
      </c>
      <c r="F52">
        <v>0.47</v>
      </c>
      <c r="G52">
        <v>2.48</v>
      </c>
      <c r="H52">
        <f t="shared" si="3"/>
        <v>1.1656</v>
      </c>
      <c r="I52">
        <v>0.48</v>
      </c>
      <c r="J52">
        <v>3.14</v>
      </c>
      <c r="K52">
        <f t="shared" si="4"/>
        <v>1.5072000000000001</v>
      </c>
      <c r="L52">
        <f t="shared" si="5"/>
        <v>0.20082594940540541</v>
      </c>
      <c r="M52">
        <v>0.42</v>
      </c>
      <c r="N52" s="1" t="s">
        <v>58</v>
      </c>
    </row>
    <row r="53" spans="1:14" x14ac:dyDescent="0.45">
      <c r="A53">
        <v>48.01</v>
      </c>
      <c r="B53">
        <v>16</v>
      </c>
      <c r="C53">
        <v>85</v>
      </c>
      <c r="D53" t="s">
        <v>44</v>
      </c>
      <c r="E53">
        <v>1</v>
      </c>
      <c r="F53">
        <v>0.46</v>
      </c>
      <c r="G53">
        <v>2.4700000000000002</v>
      </c>
      <c r="H53">
        <f t="shared" si="3"/>
        <v>1.1362000000000001</v>
      </c>
      <c r="I53">
        <v>0.48</v>
      </c>
      <c r="J53">
        <v>3.18</v>
      </c>
      <c r="K53">
        <f t="shared" si="4"/>
        <v>1.5264</v>
      </c>
      <c r="L53">
        <f t="shared" si="5"/>
        <v>0.18858411414288692</v>
      </c>
      <c r="M53">
        <v>0.32</v>
      </c>
      <c r="N53" s="1" t="s">
        <v>56</v>
      </c>
    </row>
    <row r="54" spans="1:14" x14ac:dyDescent="0.45">
      <c r="A54">
        <v>46.38</v>
      </c>
      <c r="B54">
        <v>10</v>
      </c>
      <c r="C54">
        <v>85</v>
      </c>
      <c r="D54" t="s">
        <v>44</v>
      </c>
      <c r="E54">
        <v>0.96</v>
      </c>
      <c r="F54">
        <v>0.47</v>
      </c>
      <c r="G54">
        <v>2.38</v>
      </c>
      <c r="H54">
        <f t="shared" si="3"/>
        <v>1.1185999999999998</v>
      </c>
      <c r="I54">
        <v>0.47</v>
      </c>
      <c r="J54">
        <v>0.28999999999999998</v>
      </c>
      <c r="K54">
        <f t="shared" si="4"/>
        <v>0.13629999999999998</v>
      </c>
      <c r="L54">
        <f t="shared" si="5"/>
        <v>0.19218792496765844</v>
      </c>
      <c r="M54">
        <v>0.24</v>
      </c>
      <c r="N54" s="1" t="s">
        <v>56</v>
      </c>
    </row>
    <row r="55" spans="1:14" x14ac:dyDescent="0.45">
      <c r="A55">
        <v>20.37</v>
      </c>
      <c r="B55">
        <v>16</v>
      </c>
      <c r="C55">
        <v>85</v>
      </c>
      <c r="D55" t="s">
        <v>45</v>
      </c>
      <c r="E55">
        <v>1.2</v>
      </c>
      <c r="F55">
        <v>0.54</v>
      </c>
      <c r="G55">
        <v>2.2400000000000002</v>
      </c>
      <c r="H55">
        <f t="shared" si="3"/>
        <v>1.2096000000000002</v>
      </c>
      <c r="I55">
        <v>0.53</v>
      </c>
      <c r="J55">
        <v>2.96</v>
      </c>
      <c r="K55">
        <f t="shared" si="4"/>
        <v>1.5688</v>
      </c>
      <c r="L55">
        <f t="shared" si="5"/>
        <v>0.47318696907216501</v>
      </c>
      <c r="M55">
        <v>0.36</v>
      </c>
      <c r="N55" s="1" t="s">
        <v>59</v>
      </c>
    </row>
    <row r="56" spans="1:14" x14ac:dyDescent="0.45">
      <c r="A56">
        <v>22</v>
      </c>
      <c r="B56">
        <v>6.3</v>
      </c>
      <c r="C56">
        <v>85</v>
      </c>
      <c r="D56" t="s">
        <v>7</v>
      </c>
      <c r="E56">
        <v>2.2999999999999998</v>
      </c>
      <c r="F56">
        <v>0.31</v>
      </c>
      <c r="G56">
        <v>1.69</v>
      </c>
      <c r="H56">
        <f t="shared" si="3"/>
        <v>0.52390000000000003</v>
      </c>
      <c r="I56">
        <v>0.28999999999999998</v>
      </c>
      <c r="J56">
        <v>0.27</v>
      </c>
      <c r="K56">
        <f t="shared" si="4"/>
        <v>7.8299999999999995E-2</v>
      </c>
      <c r="L56">
        <f t="shared" si="5"/>
        <v>0.18976134272727271</v>
      </c>
      <c r="M56">
        <v>0.28999999999999998</v>
      </c>
      <c r="N56" s="1" t="s">
        <v>56</v>
      </c>
    </row>
    <row r="57" spans="1:14" x14ac:dyDescent="0.45">
      <c r="A57">
        <v>23.36</v>
      </c>
      <c r="B57">
        <v>50</v>
      </c>
      <c r="C57">
        <v>105</v>
      </c>
      <c r="D57" t="s">
        <v>11</v>
      </c>
      <c r="E57">
        <v>0.6</v>
      </c>
      <c r="F57">
        <v>0.52</v>
      </c>
      <c r="G57">
        <v>2.56</v>
      </c>
      <c r="H57">
        <f t="shared" si="3"/>
        <v>1.3312000000000002</v>
      </c>
      <c r="I57">
        <v>0.46</v>
      </c>
      <c r="J57">
        <v>3.19</v>
      </c>
      <c r="K57">
        <f t="shared" si="4"/>
        <v>1.4674</v>
      </c>
      <c r="L57">
        <f t="shared" si="5"/>
        <v>0.45410104109589045</v>
      </c>
      <c r="M57">
        <v>0.33</v>
      </c>
      <c r="N57" s="1" t="s">
        <v>58</v>
      </c>
    </row>
    <row r="58" spans="1:14" x14ac:dyDescent="0.45">
      <c r="A58">
        <v>22.17</v>
      </c>
      <c r="B58">
        <v>16</v>
      </c>
      <c r="C58">
        <v>85</v>
      </c>
      <c r="D58" t="s">
        <v>14</v>
      </c>
      <c r="E58">
        <v>1.4</v>
      </c>
      <c r="F58">
        <v>0.47</v>
      </c>
      <c r="G58">
        <v>2.19</v>
      </c>
      <c r="H58">
        <f t="shared" si="3"/>
        <v>1.0292999999999999</v>
      </c>
      <c r="I58">
        <v>0.47</v>
      </c>
      <c r="J58">
        <v>2.88</v>
      </c>
      <c r="K58">
        <f t="shared" si="4"/>
        <v>1.3535999999999999</v>
      </c>
      <c r="L58">
        <f t="shared" si="5"/>
        <v>0.36996301217861971</v>
      </c>
      <c r="M58">
        <v>0.34</v>
      </c>
      <c r="N58" s="1" t="s">
        <v>56</v>
      </c>
    </row>
    <row r="59" spans="1:14" x14ac:dyDescent="0.45">
      <c r="A59">
        <v>22.01</v>
      </c>
      <c r="B59">
        <v>25</v>
      </c>
      <c r="C59">
        <v>105</v>
      </c>
      <c r="D59" t="s">
        <v>25</v>
      </c>
      <c r="E59">
        <v>1.2</v>
      </c>
      <c r="F59">
        <v>0.46</v>
      </c>
      <c r="G59">
        <v>3.16</v>
      </c>
      <c r="H59">
        <f t="shared" si="3"/>
        <v>1.4536000000000002</v>
      </c>
      <c r="I59">
        <v>0.47</v>
      </c>
      <c r="J59">
        <v>4.1399999999999997</v>
      </c>
      <c r="K59">
        <f t="shared" si="4"/>
        <v>1.9457999999999998</v>
      </c>
      <c r="L59">
        <f t="shared" si="5"/>
        <v>0.52626792185370286</v>
      </c>
      <c r="M59">
        <v>0.28999999999999998</v>
      </c>
      <c r="N59" s="1" t="s">
        <v>56</v>
      </c>
    </row>
    <row r="60" spans="1:14" x14ac:dyDescent="0.45">
      <c r="A60">
        <v>9.907</v>
      </c>
      <c r="B60">
        <v>50</v>
      </c>
      <c r="C60">
        <v>85</v>
      </c>
      <c r="D60" t="s">
        <v>45</v>
      </c>
      <c r="E60">
        <v>1.2</v>
      </c>
      <c r="F60">
        <v>0.52</v>
      </c>
      <c r="G60">
        <v>2.14</v>
      </c>
      <c r="H60">
        <f t="shared" si="3"/>
        <v>1.1128</v>
      </c>
      <c r="I60">
        <v>0.51</v>
      </c>
      <c r="J60">
        <v>3.44</v>
      </c>
      <c r="K60">
        <f t="shared" si="4"/>
        <v>1.7544</v>
      </c>
      <c r="L60">
        <f t="shared" si="5"/>
        <v>0.89506995861512062</v>
      </c>
      <c r="M60">
        <v>0.35</v>
      </c>
      <c r="N60" s="1" t="s">
        <v>59</v>
      </c>
    </row>
    <row r="61" spans="1:14" x14ac:dyDescent="0.45">
      <c r="A61">
        <v>10.33</v>
      </c>
      <c r="B61">
        <v>16</v>
      </c>
      <c r="C61">
        <v>85</v>
      </c>
      <c r="D61" t="s">
        <v>7</v>
      </c>
      <c r="E61">
        <v>2.2999999999999998</v>
      </c>
      <c r="F61">
        <v>0.31</v>
      </c>
      <c r="G61">
        <v>2.12</v>
      </c>
      <c r="H61">
        <f t="shared" si="3"/>
        <v>0.65720000000000001</v>
      </c>
      <c r="I61">
        <v>0.31</v>
      </c>
      <c r="J61">
        <v>2.66</v>
      </c>
      <c r="K61">
        <f t="shared" si="4"/>
        <v>0.8246</v>
      </c>
      <c r="L61">
        <f t="shared" si="5"/>
        <v>0.50696649757986445</v>
      </c>
      <c r="M61">
        <v>0.24</v>
      </c>
      <c r="N61" s="1" t="s">
        <v>56</v>
      </c>
    </row>
    <row r="62" spans="1:14" x14ac:dyDescent="0.45">
      <c r="A62">
        <v>10.35</v>
      </c>
      <c r="B62">
        <v>16</v>
      </c>
      <c r="C62">
        <v>85</v>
      </c>
      <c r="D62" t="s">
        <v>5</v>
      </c>
      <c r="E62">
        <v>2.5</v>
      </c>
      <c r="F62">
        <v>0.18</v>
      </c>
      <c r="G62">
        <v>2.19</v>
      </c>
      <c r="H62">
        <f t="shared" si="3"/>
        <v>0.39419999999999999</v>
      </c>
      <c r="I62">
        <v>0.18</v>
      </c>
      <c r="J62">
        <v>2.25</v>
      </c>
      <c r="K62">
        <f t="shared" si="4"/>
        <v>0.40499999999999997</v>
      </c>
      <c r="L62">
        <f t="shared" si="5"/>
        <v>0.30349972173913042</v>
      </c>
      <c r="M62">
        <v>0.18</v>
      </c>
      <c r="N62" s="1" t="s">
        <v>59</v>
      </c>
    </row>
    <row r="63" spans="1:14" x14ac:dyDescent="0.45">
      <c r="A63">
        <v>8.0229999999999997</v>
      </c>
      <c r="B63">
        <v>50</v>
      </c>
      <c r="C63">
        <v>105</v>
      </c>
      <c r="D63" t="s">
        <v>32</v>
      </c>
      <c r="E63">
        <v>1.6</v>
      </c>
      <c r="F63">
        <v>0.54</v>
      </c>
      <c r="G63">
        <v>1.84</v>
      </c>
      <c r="H63">
        <f t="shared" si="3"/>
        <v>0.99360000000000015</v>
      </c>
      <c r="I63">
        <v>0.56999999999999995</v>
      </c>
      <c r="J63">
        <v>3.02</v>
      </c>
      <c r="K63">
        <f t="shared" si="4"/>
        <v>1.7213999999999998</v>
      </c>
      <c r="L63">
        <f t="shared" si="5"/>
        <v>0.98686288919356868</v>
      </c>
      <c r="M63">
        <v>0.28000000000000003</v>
      </c>
      <c r="N63" s="1" t="s">
        <v>56</v>
      </c>
    </row>
    <row r="64" spans="1:14" x14ac:dyDescent="0.45">
      <c r="A64">
        <v>9.532</v>
      </c>
      <c r="B64">
        <v>10</v>
      </c>
      <c r="C64">
        <v>85</v>
      </c>
      <c r="D64" t="s">
        <v>14</v>
      </c>
      <c r="E64">
        <v>1.6</v>
      </c>
      <c r="F64">
        <v>0.46</v>
      </c>
      <c r="G64">
        <v>2.2400000000000002</v>
      </c>
      <c r="H64">
        <f t="shared" si="3"/>
        <v>1.0304000000000002</v>
      </c>
      <c r="I64">
        <v>0.46</v>
      </c>
      <c r="J64">
        <v>2.94</v>
      </c>
      <c r="K64">
        <f t="shared" si="4"/>
        <v>1.3524</v>
      </c>
      <c r="L64">
        <f t="shared" si="5"/>
        <v>0.86139796894670606</v>
      </c>
      <c r="M64">
        <v>0.38</v>
      </c>
      <c r="N64" s="1" t="s">
        <v>58</v>
      </c>
    </row>
    <row r="65" spans="1:14" x14ac:dyDescent="0.45">
      <c r="A65">
        <v>9.5939999999999994</v>
      </c>
      <c r="B65">
        <v>16</v>
      </c>
      <c r="C65">
        <v>85</v>
      </c>
      <c r="D65" t="s">
        <v>14</v>
      </c>
      <c r="E65">
        <v>1.5</v>
      </c>
      <c r="F65">
        <v>0.46</v>
      </c>
      <c r="G65">
        <v>2.2599999999999998</v>
      </c>
      <c r="H65">
        <f t="shared" si="3"/>
        <v>1.0395999999999999</v>
      </c>
      <c r="I65">
        <v>0.48</v>
      </c>
      <c r="J65">
        <v>2.96</v>
      </c>
      <c r="K65">
        <f t="shared" si="4"/>
        <v>1.4207999999999998</v>
      </c>
      <c r="L65">
        <f t="shared" si="5"/>
        <v>0.86347264540337709</v>
      </c>
      <c r="M65">
        <v>0.38</v>
      </c>
      <c r="N65" s="1" t="s">
        <v>56</v>
      </c>
    </row>
    <row r="66" spans="1:14" x14ac:dyDescent="0.45">
      <c r="A66">
        <v>9.952</v>
      </c>
      <c r="B66">
        <v>50</v>
      </c>
      <c r="C66">
        <v>105</v>
      </c>
      <c r="D66" t="s">
        <v>11</v>
      </c>
      <c r="E66">
        <v>1.1000000000000001</v>
      </c>
      <c r="F66">
        <v>0.47</v>
      </c>
      <c r="G66">
        <v>1.99</v>
      </c>
      <c r="H66">
        <f t="shared" ref="H66:H97" si="6">F66*G66</f>
        <v>0.93529999999999991</v>
      </c>
      <c r="I66">
        <v>0.46</v>
      </c>
      <c r="J66">
        <v>0.34</v>
      </c>
      <c r="K66">
        <f t="shared" ref="K66:K97" si="7">I66*J66</f>
        <v>0.15640000000000001</v>
      </c>
      <c r="L66">
        <f t="shared" ref="L66:L77" si="8">(((8.854*10^-12*9)*(H66*10^-4))/(A66*10^-6))*10^9</f>
        <v>0.74889786776527334</v>
      </c>
      <c r="M66">
        <v>0.34</v>
      </c>
      <c r="N66" s="1" t="s">
        <v>56</v>
      </c>
    </row>
    <row r="67" spans="1:14" x14ac:dyDescent="0.45">
      <c r="A67">
        <v>9.9109999999999996</v>
      </c>
      <c r="B67">
        <v>25</v>
      </c>
      <c r="C67">
        <v>105</v>
      </c>
      <c r="D67" t="s">
        <v>36</v>
      </c>
      <c r="E67">
        <v>2.4</v>
      </c>
      <c r="F67">
        <v>0.27</v>
      </c>
      <c r="G67">
        <v>1.68</v>
      </c>
      <c r="H67">
        <f t="shared" si="6"/>
        <v>0.4536</v>
      </c>
      <c r="I67">
        <v>0.3</v>
      </c>
      <c r="J67">
        <v>2.23</v>
      </c>
      <c r="K67">
        <f t="shared" si="7"/>
        <v>0.66899999999999993</v>
      </c>
      <c r="L67">
        <f t="shared" si="8"/>
        <v>0.36470153970335994</v>
      </c>
      <c r="M67">
        <v>0.24</v>
      </c>
      <c r="N67" s="1" t="s">
        <v>58</v>
      </c>
    </row>
    <row r="68" spans="1:14" x14ac:dyDescent="0.45">
      <c r="A68">
        <v>4.484</v>
      </c>
      <c r="B68">
        <v>50</v>
      </c>
      <c r="C68">
        <v>85</v>
      </c>
      <c r="D68" t="s">
        <v>7</v>
      </c>
      <c r="E68">
        <v>2.5</v>
      </c>
      <c r="F68">
        <v>0.48</v>
      </c>
      <c r="G68">
        <v>2.21</v>
      </c>
      <c r="H68">
        <f t="shared" si="6"/>
        <v>1.0608</v>
      </c>
      <c r="I68">
        <v>0.46</v>
      </c>
      <c r="J68">
        <v>3.19</v>
      </c>
      <c r="K68">
        <f t="shared" si="7"/>
        <v>1.4674</v>
      </c>
      <c r="L68">
        <f t="shared" si="8"/>
        <v>1.8851674576271185</v>
      </c>
      <c r="M68">
        <v>0.34</v>
      </c>
      <c r="N68" s="1" t="s">
        <v>56</v>
      </c>
    </row>
    <row r="69" spans="1:14" x14ac:dyDescent="0.45">
      <c r="A69">
        <v>4.798</v>
      </c>
      <c r="B69">
        <v>25</v>
      </c>
      <c r="C69">
        <v>85</v>
      </c>
      <c r="D69" t="s">
        <v>7</v>
      </c>
      <c r="E69">
        <v>4.2</v>
      </c>
      <c r="F69">
        <v>0.27</v>
      </c>
      <c r="G69">
        <v>1.89</v>
      </c>
      <c r="H69">
        <f t="shared" si="6"/>
        <v>0.51029999999999998</v>
      </c>
      <c r="I69">
        <v>0.33</v>
      </c>
      <c r="J69">
        <v>2.5099999999999998</v>
      </c>
      <c r="K69">
        <f t="shared" si="7"/>
        <v>0.82829999999999993</v>
      </c>
      <c r="L69">
        <f t="shared" si="8"/>
        <v>0.8475149187161316</v>
      </c>
      <c r="M69">
        <v>0.26</v>
      </c>
      <c r="N69" s="1" t="s">
        <v>56</v>
      </c>
    </row>
    <row r="70" spans="1:14" x14ac:dyDescent="0.45">
      <c r="A70">
        <v>4.3719999999999999</v>
      </c>
      <c r="B70">
        <v>16</v>
      </c>
      <c r="C70">
        <v>105</v>
      </c>
      <c r="D70" t="s">
        <v>48</v>
      </c>
      <c r="E70">
        <v>3.1</v>
      </c>
      <c r="F70">
        <v>0.45</v>
      </c>
      <c r="G70">
        <v>1.96</v>
      </c>
      <c r="H70">
        <f t="shared" si="6"/>
        <v>0.88200000000000001</v>
      </c>
      <c r="I70">
        <v>0.48</v>
      </c>
      <c r="J70">
        <v>2.66</v>
      </c>
      <c r="K70">
        <f t="shared" si="7"/>
        <v>1.2767999999999999</v>
      </c>
      <c r="L70">
        <f t="shared" si="8"/>
        <v>1.6075720951509607</v>
      </c>
      <c r="M70">
        <v>0.36</v>
      </c>
      <c r="N70" s="1" t="s">
        <v>56</v>
      </c>
    </row>
    <row r="71" spans="1:14" x14ac:dyDescent="0.45">
      <c r="A71">
        <v>4.3079999999999998</v>
      </c>
      <c r="B71">
        <v>50</v>
      </c>
      <c r="C71">
        <v>85</v>
      </c>
      <c r="D71" t="s">
        <v>14</v>
      </c>
      <c r="E71">
        <v>2.2000000000000002</v>
      </c>
      <c r="F71">
        <v>0.44</v>
      </c>
      <c r="G71">
        <v>2.31</v>
      </c>
      <c r="H71">
        <f t="shared" si="6"/>
        <v>1.0164</v>
      </c>
      <c r="I71">
        <v>0.46</v>
      </c>
      <c r="J71">
        <v>2.96</v>
      </c>
      <c r="K71">
        <f t="shared" si="7"/>
        <v>1.3616000000000001</v>
      </c>
      <c r="L71">
        <f t="shared" si="8"/>
        <v>1.8800568802228412</v>
      </c>
      <c r="M71">
        <v>0.32</v>
      </c>
      <c r="N71" s="1" t="s">
        <v>58</v>
      </c>
    </row>
    <row r="72" spans="1:14" x14ac:dyDescent="0.45">
      <c r="A72">
        <v>1.006</v>
      </c>
      <c r="B72">
        <v>50</v>
      </c>
      <c r="C72">
        <v>85</v>
      </c>
      <c r="D72" t="s">
        <v>7</v>
      </c>
      <c r="E72">
        <v>4.3</v>
      </c>
      <c r="F72">
        <v>0.52</v>
      </c>
      <c r="G72">
        <v>2.09</v>
      </c>
      <c r="H72">
        <f t="shared" si="6"/>
        <v>1.0868</v>
      </c>
      <c r="I72">
        <v>0.54</v>
      </c>
      <c r="J72">
        <v>3.04</v>
      </c>
      <c r="K72">
        <f t="shared" si="7"/>
        <v>1.6416000000000002</v>
      </c>
      <c r="L72">
        <f t="shared" si="8"/>
        <v>8.608622743538767</v>
      </c>
      <c r="M72">
        <v>0.33</v>
      </c>
      <c r="N72" s="1" t="s">
        <v>56</v>
      </c>
    </row>
    <row r="73" spans="1:14" x14ac:dyDescent="0.45">
      <c r="A73">
        <v>0.94289999999999996</v>
      </c>
      <c r="B73">
        <v>50</v>
      </c>
      <c r="C73">
        <v>85</v>
      </c>
      <c r="D73" t="s">
        <v>45</v>
      </c>
      <c r="E73">
        <v>3.2</v>
      </c>
      <c r="F73">
        <v>0.52</v>
      </c>
      <c r="G73">
        <v>2.33</v>
      </c>
      <c r="H73">
        <f t="shared" si="6"/>
        <v>1.2116</v>
      </c>
      <c r="I73">
        <v>0.53</v>
      </c>
      <c r="J73">
        <v>2.97</v>
      </c>
      <c r="K73">
        <f t="shared" si="7"/>
        <v>1.5741000000000003</v>
      </c>
      <c r="L73">
        <f t="shared" si="8"/>
        <v>10.239427044225263</v>
      </c>
      <c r="M73">
        <v>0.39</v>
      </c>
      <c r="N73" s="1" t="s">
        <v>56</v>
      </c>
    </row>
    <row r="74" spans="1:14" x14ac:dyDescent="0.45">
      <c r="A74">
        <v>1.006</v>
      </c>
      <c r="B74">
        <v>50</v>
      </c>
      <c r="C74">
        <v>85</v>
      </c>
      <c r="D74" t="s">
        <v>39</v>
      </c>
      <c r="E74">
        <v>6.4</v>
      </c>
      <c r="F74">
        <v>0.26</v>
      </c>
      <c r="G74">
        <v>1.57</v>
      </c>
      <c r="H74">
        <f t="shared" si="6"/>
        <v>0.40820000000000001</v>
      </c>
      <c r="I74">
        <v>0.27</v>
      </c>
      <c r="J74">
        <v>2.0099999999999998</v>
      </c>
      <c r="K74">
        <f t="shared" si="7"/>
        <v>0.54269999999999996</v>
      </c>
      <c r="L74">
        <f t="shared" si="8"/>
        <v>3.2333822266401593</v>
      </c>
      <c r="M74">
        <v>0.24</v>
      </c>
      <c r="N74" s="1" t="s">
        <v>56</v>
      </c>
    </row>
    <row r="75" spans="1:14" x14ac:dyDescent="0.45">
      <c r="A75">
        <v>1.069</v>
      </c>
      <c r="B75">
        <v>50</v>
      </c>
      <c r="C75">
        <v>85</v>
      </c>
      <c r="D75" t="s">
        <v>7</v>
      </c>
      <c r="E75">
        <v>6.5</v>
      </c>
      <c r="F75">
        <v>0.27</v>
      </c>
      <c r="G75">
        <v>1.78</v>
      </c>
      <c r="H75">
        <f t="shared" si="6"/>
        <v>0.48060000000000003</v>
      </c>
      <c r="I75">
        <v>0.24</v>
      </c>
      <c r="J75">
        <v>2.25</v>
      </c>
      <c r="K75">
        <f t="shared" si="7"/>
        <v>0.54</v>
      </c>
      <c r="L75">
        <f t="shared" si="8"/>
        <v>3.5825155846585601</v>
      </c>
      <c r="M75">
        <v>0.25</v>
      </c>
      <c r="N75" s="1" t="s">
        <v>56</v>
      </c>
    </row>
    <row r="76" spans="1:14" x14ac:dyDescent="0.45">
      <c r="A76">
        <v>1.0369999999999999</v>
      </c>
      <c r="B76">
        <v>50</v>
      </c>
      <c r="C76">
        <v>85</v>
      </c>
      <c r="D76" t="s">
        <v>38</v>
      </c>
      <c r="E76">
        <v>5.8</v>
      </c>
      <c r="F76">
        <v>0.46</v>
      </c>
      <c r="G76">
        <v>2.12</v>
      </c>
      <c r="H76">
        <f t="shared" si="6"/>
        <v>0.97520000000000007</v>
      </c>
      <c r="I76">
        <v>0.48</v>
      </c>
      <c r="J76">
        <v>2.56</v>
      </c>
      <c r="K76">
        <f t="shared" si="7"/>
        <v>1.2287999999999999</v>
      </c>
      <c r="L76">
        <f t="shared" si="8"/>
        <v>7.4937113982642254</v>
      </c>
      <c r="M76">
        <v>0.34</v>
      </c>
      <c r="N76" s="1" t="s">
        <v>56</v>
      </c>
    </row>
    <row r="77" spans="1:14" x14ac:dyDescent="0.45">
      <c r="A77">
        <v>1.006</v>
      </c>
      <c r="B77">
        <v>50</v>
      </c>
      <c r="C77">
        <v>105</v>
      </c>
      <c r="D77" t="s">
        <v>50</v>
      </c>
      <c r="E77">
        <v>6.8</v>
      </c>
      <c r="F77">
        <v>0.36</v>
      </c>
      <c r="G77">
        <v>1.46</v>
      </c>
      <c r="H77">
        <f t="shared" si="6"/>
        <v>0.52559999999999996</v>
      </c>
      <c r="I77">
        <v>0.37</v>
      </c>
      <c r="J77">
        <v>1.96</v>
      </c>
      <c r="K77">
        <f t="shared" si="7"/>
        <v>0.72519999999999996</v>
      </c>
      <c r="L77">
        <f t="shared" si="8"/>
        <v>4.1633162624254458</v>
      </c>
      <c r="M77">
        <v>0.24</v>
      </c>
      <c r="N77" s="1" t="s">
        <v>56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FBFE-7EF6-4F3F-9589-17B88E61445A}">
  <dimension ref="A1:B85"/>
  <sheetViews>
    <sheetView workbookViewId="0">
      <selection activeCell="B1" sqref="B1:B1048576"/>
    </sheetView>
  </sheetViews>
  <sheetFormatPr defaultRowHeight="18" x14ac:dyDescent="0.45"/>
  <cols>
    <col min="2" max="2" width="13.69921875" customWidth="1"/>
  </cols>
  <sheetData>
    <row r="1" spans="1:2" x14ac:dyDescent="0.45">
      <c r="A1" t="s">
        <v>0</v>
      </c>
      <c r="B1" t="s">
        <v>29</v>
      </c>
    </row>
    <row r="2" spans="1:2" x14ac:dyDescent="0.45">
      <c r="A2" t="s">
        <v>3</v>
      </c>
      <c r="B2" t="s">
        <v>4</v>
      </c>
    </row>
    <row r="3" spans="1:2" x14ac:dyDescent="0.45">
      <c r="A3">
        <v>1000</v>
      </c>
      <c r="B3" t="s">
        <v>8</v>
      </c>
    </row>
    <row r="4" spans="1:2" x14ac:dyDescent="0.45">
      <c r="A4">
        <v>1000</v>
      </c>
      <c r="B4" t="s">
        <v>10</v>
      </c>
    </row>
    <row r="5" spans="1:2" x14ac:dyDescent="0.45">
      <c r="A5">
        <v>1000</v>
      </c>
    </row>
    <row r="6" spans="1:2" x14ac:dyDescent="0.45">
      <c r="A6">
        <v>1000</v>
      </c>
    </row>
    <row r="7" spans="1:2" x14ac:dyDescent="0.45">
      <c r="A7">
        <v>1000</v>
      </c>
      <c r="B7" t="s">
        <v>13</v>
      </c>
    </row>
    <row r="8" spans="1:2" x14ac:dyDescent="0.45">
      <c r="A8">
        <v>1000</v>
      </c>
      <c r="B8" t="s">
        <v>13</v>
      </c>
    </row>
    <row r="9" spans="1:2" x14ac:dyDescent="0.45">
      <c r="A9">
        <v>1000</v>
      </c>
      <c r="B9" t="s">
        <v>15</v>
      </c>
    </row>
    <row r="10" spans="1:2" x14ac:dyDescent="0.45">
      <c r="A10">
        <v>470</v>
      </c>
      <c r="B10" t="s">
        <v>8</v>
      </c>
    </row>
    <row r="11" spans="1:2" x14ac:dyDescent="0.45">
      <c r="A11">
        <v>470</v>
      </c>
      <c r="B11" t="s">
        <v>6</v>
      </c>
    </row>
    <row r="12" spans="1:2" x14ac:dyDescent="0.45">
      <c r="A12">
        <v>470</v>
      </c>
      <c r="B12" t="s">
        <v>16</v>
      </c>
    </row>
    <row r="13" spans="1:2" x14ac:dyDescent="0.45">
      <c r="A13">
        <v>470</v>
      </c>
      <c r="B13" t="s">
        <v>17</v>
      </c>
    </row>
    <row r="14" spans="1:2" x14ac:dyDescent="0.45">
      <c r="A14">
        <v>470</v>
      </c>
    </row>
    <row r="15" spans="1:2" x14ac:dyDescent="0.45">
      <c r="A15">
        <v>470</v>
      </c>
    </row>
    <row r="16" spans="1:2" x14ac:dyDescent="0.45">
      <c r="A16">
        <v>470</v>
      </c>
    </row>
    <row r="17" spans="1:2" x14ac:dyDescent="0.45">
      <c r="A17">
        <v>470</v>
      </c>
      <c r="B17" t="s">
        <v>20</v>
      </c>
    </row>
    <row r="18" spans="1:2" x14ac:dyDescent="0.45">
      <c r="A18">
        <v>470</v>
      </c>
      <c r="B18" t="s">
        <v>15</v>
      </c>
    </row>
    <row r="19" spans="1:2" x14ac:dyDescent="0.45">
      <c r="A19">
        <v>470</v>
      </c>
    </row>
    <row r="20" spans="1:2" x14ac:dyDescent="0.45">
      <c r="A20">
        <v>220</v>
      </c>
      <c r="B20" t="s">
        <v>8</v>
      </c>
    </row>
    <row r="21" spans="1:2" x14ac:dyDescent="0.45">
      <c r="A21">
        <v>220</v>
      </c>
      <c r="B21" t="s">
        <v>8</v>
      </c>
    </row>
    <row r="22" spans="1:2" x14ac:dyDescent="0.45">
      <c r="A22">
        <v>220</v>
      </c>
      <c r="B22" t="s">
        <v>31</v>
      </c>
    </row>
    <row r="23" spans="1:2" x14ac:dyDescent="0.45">
      <c r="A23">
        <v>220</v>
      </c>
      <c r="B23" t="s">
        <v>23</v>
      </c>
    </row>
    <row r="24" spans="1:2" x14ac:dyDescent="0.45">
      <c r="A24">
        <v>220</v>
      </c>
    </row>
    <row r="25" spans="1:2" x14ac:dyDescent="0.45">
      <c r="A25">
        <v>220</v>
      </c>
    </row>
    <row r="26" spans="1:2" x14ac:dyDescent="0.45">
      <c r="A26">
        <v>220</v>
      </c>
    </row>
    <row r="27" spans="1:2" x14ac:dyDescent="0.45">
      <c r="A27">
        <v>220</v>
      </c>
      <c r="B27" t="s">
        <v>10</v>
      </c>
    </row>
    <row r="28" spans="1:2" x14ac:dyDescent="0.45">
      <c r="A28">
        <v>220</v>
      </c>
      <c r="B28" t="s">
        <v>15</v>
      </c>
    </row>
    <row r="29" spans="1:2" x14ac:dyDescent="0.45">
      <c r="A29">
        <v>220</v>
      </c>
      <c r="B29" t="s">
        <v>15</v>
      </c>
    </row>
    <row r="30" spans="1:2" x14ac:dyDescent="0.45">
      <c r="A30">
        <v>220</v>
      </c>
      <c r="B30" t="s">
        <v>15</v>
      </c>
    </row>
    <row r="31" spans="1:2" x14ac:dyDescent="0.45">
      <c r="A31">
        <v>100</v>
      </c>
      <c r="B31" t="s">
        <v>30</v>
      </c>
    </row>
    <row r="32" spans="1:2" x14ac:dyDescent="0.45">
      <c r="A32">
        <v>100</v>
      </c>
    </row>
    <row r="33" spans="1:2" x14ac:dyDescent="0.45">
      <c r="A33">
        <v>100</v>
      </c>
      <c r="B33" t="s">
        <v>17</v>
      </c>
    </row>
    <row r="34" spans="1:2" x14ac:dyDescent="0.45">
      <c r="A34">
        <v>100</v>
      </c>
      <c r="B34" t="s">
        <v>23</v>
      </c>
    </row>
    <row r="35" spans="1:2" x14ac:dyDescent="0.45">
      <c r="A35">
        <v>100</v>
      </c>
    </row>
    <row r="36" spans="1:2" x14ac:dyDescent="0.45">
      <c r="A36">
        <v>100</v>
      </c>
      <c r="B36" t="s">
        <v>31</v>
      </c>
    </row>
    <row r="37" spans="1:2" x14ac:dyDescent="0.45">
      <c r="A37">
        <v>100</v>
      </c>
    </row>
    <row r="38" spans="1:2" x14ac:dyDescent="0.45">
      <c r="A38">
        <v>100</v>
      </c>
      <c r="B38" t="s">
        <v>34</v>
      </c>
    </row>
    <row r="39" spans="1:2" x14ac:dyDescent="0.45">
      <c r="A39">
        <v>100</v>
      </c>
    </row>
    <row r="40" spans="1:2" x14ac:dyDescent="0.45">
      <c r="A40">
        <v>100</v>
      </c>
    </row>
    <row r="41" spans="1:2" x14ac:dyDescent="0.45">
      <c r="A41">
        <v>100</v>
      </c>
    </row>
    <row r="42" spans="1:2" x14ac:dyDescent="0.45">
      <c r="A42">
        <v>100</v>
      </c>
    </row>
    <row r="43" spans="1:2" x14ac:dyDescent="0.45">
      <c r="A43">
        <v>100</v>
      </c>
      <c r="B43" t="s">
        <v>31</v>
      </c>
    </row>
    <row r="44" spans="1:2" x14ac:dyDescent="0.45">
      <c r="A44">
        <v>100</v>
      </c>
      <c r="B44" t="s">
        <v>10</v>
      </c>
    </row>
    <row r="45" spans="1:2" x14ac:dyDescent="0.45">
      <c r="A45">
        <v>100</v>
      </c>
      <c r="B45" t="s">
        <v>10</v>
      </c>
    </row>
    <row r="46" spans="1:2" x14ac:dyDescent="0.45">
      <c r="A46">
        <v>100</v>
      </c>
      <c r="B46" t="s">
        <v>40</v>
      </c>
    </row>
    <row r="47" spans="1:2" x14ac:dyDescent="0.45">
      <c r="A47">
        <v>47</v>
      </c>
      <c r="B47" t="s">
        <v>41</v>
      </c>
    </row>
    <row r="48" spans="1:2" x14ac:dyDescent="0.45">
      <c r="A48">
        <v>47</v>
      </c>
      <c r="B48" t="s">
        <v>17</v>
      </c>
    </row>
    <row r="49" spans="1:2" x14ac:dyDescent="0.45">
      <c r="A49">
        <v>47</v>
      </c>
      <c r="B49" t="s">
        <v>17</v>
      </c>
    </row>
    <row r="50" spans="1:2" x14ac:dyDescent="0.45">
      <c r="A50">
        <v>47</v>
      </c>
      <c r="B50" t="s">
        <v>42</v>
      </c>
    </row>
    <row r="51" spans="1:2" x14ac:dyDescent="0.45">
      <c r="A51">
        <v>47</v>
      </c>
    </row>
    <row r="52" spans="1:2" x14ac:dyDescent="0.45">
      <c r="A52">
        <v>47</v>
      </c>
    </row>
    <row r="53" spans="1:2" x14ac:dyDescent="0.45">
      <c r="A53">
        <v>47</v>
      </c>
      <c r="B53" t="s">
        <v>8</v>
      </c>
    </row>
    <row r="54" spans="1:2" x14ac:dyDescent="0.45">
      <c r="A54">
        <v>47</v>
      </c>
      <c r="B54" t="s">
        <v>31</v>
      </c>
    </row>
    <row r="55" spans="1:2" x14ac:dyDescent="0.45">
      <c r="A55">
        <v>47</v>
      </c>
      <c r="B55" t="s">
        <v>31</v>
      </c>
    </row>
    <row r="56" spans="1:2" x14ac:dyDescent="0.45">
      <c r="A56">
        <v>47</v>
      </c>
      <c r="B56" t="s">
        <v>31</v>
      </c>
    </row>
    <row r="57" spans="1:2" x14ac:dyDescent="0.45">
      <c r="A57">
        <v>47</v>
      </c>
      <c r="B57" t="s">
        <v>23</v>
      </c>
    </row>
    <row r="58" spans="1:2" x14ac:dyDescent="0.45">
      <c r="A58">
        <v>47</v>
      </c>
      <c r="B58" t="s">
        <v>23</v>
      </c>
    </row>
    <row r="59" spans="1:2" x14ac:dyDescent="0.45">
      <c r="A59">
        <v>47</v>
      </c>
    </row>
    <row r="60" spans="1:2" x14ac:dyDescent="0.45">
      <c r="A60">
        <v>47</v>
      </c>
      <c r="B60" t="s">
        <v>15</v>
      </c>
    </row>
    <row r="61" spans="1:2" x14ac:dyDescent="0.45">
      <c r="A61">
        <v>47</v>
      </c>
      <c r="B61" t="s">
        <v>15</v>
      </c>
    </row>
    <row r="62" spans="1:2" x14ac:dyDescent="0.45">
      <c r="A62">
        <v>22</v>
      </c>
      <c r="B62" t="s">
        <v>23</v>
      </c>
    </row>
    <row r="63" spans="1:2" x14ac:dyDescent="0.45">
      <c r="A63">
        <v>22</v>
      </c>
      <c r="B63" t="s">
        <v>31</v>
      </c>
    </row>
    <row r="64" spans="1:2" x14ac:dyDescent="0.45">
      <c r="A64">
        <v>22</v>
      </c>
    </row>
    <row r="65" spans="1:2" x14ac:dyDescent="0.45">
      <c r="A65">
        <v>22</v>
      </c>
      <c r="B65" t="s">
        <v>15</v>
      </c>
    </row>
    <row r="66" spans="1:2" x14ac:dyDescent="0.45">
      <c r="A66">
        <v>22</v>
      </c>
      <c r="B66" t="s">
        <v>46</v>
      </c>
    </row>
    <row r="67" spans="1:2" x14ac:dyDescent="0.45">
      <c r="A67">
        <v>10</v>
      </c>
      <c r="B67" t="s">
        <v>23</v>
      </c>
    </row>
    <row r="68" spans="1:2" x14ac:dyDescent="0.45">
      <c r="A68">
        <v>10</v>
      </c>
      <c r="B68" t="s">
        <v>31</v>
      </c>
    </row>
    <row r="69" spans="1:2" x14ac:dyDescent="0.45">
      <c r="A69">
        <v>10</v>
      </c>
    </row>
    <row r="70" spans="1:2" x14ac:dyDescent="0.45">
      <c r="A70">
        <v>10</v>
      </c>
      <c r="B70" t="s">
        <v>47</v>
      </c>
    </row>
    <row r="71" spans="1:2" x14ac:dyDescent="0.45">
      <c r="A71">
        <v>10</v>
      </c>
      <c r="B71" t="s">
        <v>15</v>
      </c>
    </row>
    <row r="72" spans="1:2" x14ac:dyDescent="0.45">
      <c r="A72">
        <v>10</v>
      </c>
      <c r="B72" t="s">
        <v>15</v>
      </c>
    </row>
    <row r="73" spans="1:2" x14ac:dyDescent="0.45">
      <c r="A73">
        <v>10</v>
      </c>
    </row>
    <row r="74" spans="1:2" x14ac:dyDescent="0.45">
      <c r="A74">
        <v>10</v>
      </c>
      <c r="B74" t="s">
        <v>15</v>
      </c>
    </row>
    <row r="75" spans="1:2" x14ac:dyDescent="0.45">
      <c r="A75">
        <v>4.7</v>
      </c>
      <c r="B75" t="s">
        <v>8</v>
      </c>
    </row>
    <row r="76" spans="1:2" x14ac:dyDescent="0.45">
      <c r="A76">
        <v>4.7</v>
      </c>
      <c r="B76" t="s">
        <v>51</v>
      </c>
    </row>
    <row r="77" spans="1:2" x14ac:dyDescent="0.45">
      <c r="A77">
        <v>4.7</v>
      </c>
    </row>
    <row r="78" spans="1:2" x14ac:dyDescent="0.45">
      <c r="A78">
        <v>47</v>
      </c>
      <c r="B78" t="s">
        <v>49</v>
      </c>
    </row>
    <row r="79" spans="1:2" x14ac:dyDescent="0.45">
      <c r="A79">
        <v>4.7</v>
      </c>
      <c r="B79" t="s">
        <v>15</v>
      </c>
    </row>
    <row r="80" spans="1:2" x14ac:dyDescent="0.45">
      <c r="A80">
        <v>1</v>
      </c>
      <c r="B80" t="s">
        <v>8</v>
      </c>
    </row>
    <row r="81" spans="1:2" x14ac:dyDescent="0.45">
      <c r="A81">
        <v>1</v>
      </c>
      <c r="B81" t="s">
        <v>23</v>
      </c>
    </row>
    <row r="82" spans="1:2" x14ac:dyDescent="0.45">
      <c r="A82">
        <v>1</v>
      </c>
    </row>
    <row r="83" spans="1:2" x14ac:dyDescent="0.45">
      <c r="A83">
        <v>1</v>
      </c>
      <c r="B83" t="s">
        <v>31</v>
      </c>
    </row>
    <row r="84" spans="1:2" x14ac:dyDescent="0.45">
      <c r="A84">
        <v>1</v>
      </c>
      <c r="B84" t="s">
        <v>15</v>
      </c>
    </row>
    <row r="85" spans="1:2" x14ac:dyDescent="0.45">
      <c r="A85">
        <v>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621f418-f4fd-40ed-a203-e29447a6cf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E070B9667D73643810B4B9204861F9C" ma:contentTypeVersion="10" ma:contentTypeDescription="新しいドキュメントを作成します。" ma:contentTypeScope="" ma:versionID="170f5a81044672b92eed57a2014fdca9">
  <xsd:schema xmlns:xsd="http://www.w3.org/2001/XMLSchema" xmlns:xs="http://www.w3.org/2001/XMLSchema" xmlns:p="http://schemas.microsoft.com/office/2006/metadata/properties" xmlns:ns3="e621f418-f4fd-40ed-a203-e29447a6cf5c" targetNamespace="http://schemas.microsoft.com/office/2006/metadata/properties" ma:root="true" ma:fieldsID="73e83c76ae4046fcd1880c7f3593843a" ns3:_="">
    <xsd:import namespace="e621f418-f4fd-40ed-a203-e29447a6cf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1f418-f4fd-40ed-a203-e29447a6cf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56C93-AF7F-4FD2-BBD9-9A2045C4718D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e621f418-f4fd-40ed-a203-e29447a6cf5c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55B792-AEE0-4B38-9220-A2EBEF2793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452996-AA51-4D0D-BE63-3B4BA2313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21f418-f4fd-40ed-a203-e29447a6cf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2fe835d-5e95-4512-8ae0-a7b38af25fc8}" enabled="0" method="" siteId="{72fe835d-5e95-4512-8ae0-a7b38af25f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煌太 川口</dc:creator>
  <cp:lastModifiedBy>川口 煌太_沼津学生</cp:lastModifiedBy>
  <dcterms:created xsi:type="dcterms:W3CDTF">2026-10-19T14:13:48Z</dcterms:created>
  <dcterms:modified xsi:type="dcterms:W3CDTF">2026-10-25T04:27:39Z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0x0101002E070B9667D73643810B4B9204861F9C</vt:lpwstr>
  </property>
</Properties>
</file>